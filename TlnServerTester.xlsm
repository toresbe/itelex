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a\Privat\Daten\AvrProgs\i-Telex\"/>
    </mc:Choice>
  </mc:AlternateContent>
  <xr:revisionPtr revIDLastSave="0" documentId="13_ncr:1_{D0EB7346-E590-4BBE-B252-845C51956386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Manuell" sheetId="1" r:id="rId1"/>
    <sheet name="Automatik" sheetId="2" r:id="rId2"/>
  </sheets>
  <functionGroups builtInGroupCount="19"/>
  <definedNames>
    <definedName name="_xlnm._FilterDatabase" localSheetId="1" hidden="1">Automatik!$C$11:$R$568</definedName>
    <definedName name="_xlnm._FilterDatabase" localSheetId="0" hidden="1">Manuell!$A$13:$P$504</definedName>
    <definedName name="DebugAusgabe" localSheetId="1">Automatik!$B$9</definedName>
    <definedName name="DebugAusgabe" localSheetId="0">Manuell!$B$11</definedName>
    <definedName name="DynAktNummer">Manuell!$L$3</definedName>
    <definedName name="DynAktPin">Manuell!$L$5</definedName>
    <definedName name="DynAktPort">Manuell!$L$7</definedName>
    <definedName name="EinzelAbfrNummer">Manuell!$E$9</definedName>
    <definedName name="Geheimzahl">Manuell!$H$3</definedName>
    <definedName name="IP_Adresse">Manuell!$B$3</definedName>
    <definedName name="Listenkopf" localSheetId="1">Automatik!$C$11</definedName>
    <definedName name="Listenkopf">Manuell!$A$13</definedName>
    <definedName name="MaxSyncSekunden">Automatik!$L$8</definedName>
    <definedName name="Server_PIN">Automatik!$L$5</definedName>
    <definedName name="Server_Port">Manuell!$B$6</definedName>
    <definedName name="ServerAdrTab">Automatik!$G$4</definedName>
    <definedName name="ServerPortTab">Automatik!$H$4</definedName>
    <definedName name="Suchmuster">Manuell!$E$3</definedName>
    <definedName name="TestresultatKopf">Automatik!$B$11</definedName>
    <definedName name="TestschrittKopf">Automatik!$A$11</definedName>
    <definedName name="ZeitInkrement">Manuell!$J$3</definedName>
    <definedName name="Zeitzone" localSheetId="1">Automatik!$O$5</definedName>
    <definedName name="Zeitzone" localSheetId="0">Manuell!$N$3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1" l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L9" i="2"/>
  <c r="O9" i="2" s="1"/>
  <c r="L14" i="1"/>
  <c r="L17" i="1"/>
  <c r="L25" i="1"/>
  <c r="L33" i="1"/>
  <c r="L41" i="1"/>
  <c r="L49" i="1"/>
  <c r="L57" i="1"/>
  <c r="L65" i="1"/>
  <c r="L73" i="1"/>
  <c r="L81" i="1"/>
  <c r="L89" i="1"/>
  <c r="L97" i="1"/>
  <c r="L105" i="1"/>
  <c r="L113" i="1"/>
  <c r="L121" i="1"/>
  <c r="L129" i="1"/>
  <c r="L137" i="1"/>
  <c r="L145" i="1"/>
  <c r="L153" i="1"/>
  <c r="L161" i="1"/>
  <c r="L169" i="1"/>
  <c r="L177" i="1"/>
  <c r="L185" i="1"/>
  <c r="L193" i="1"/>
  <c r="L201" i="1"/>
  <c r="L209" i="1"/>
  <c r="L217" i="1"/>
  <c r="L210" i="1"/>
  <c r="L213" i="1"/>
  <c r="L22" i="1"/>
  <c r="L38" i="1"/>
  <c r="L62" i="1"/>
  <c r="L86" i="1"/>
  <c r="L126" i="1"/>
  <c r="L214" i="1"/>
  <c r="L20" i="1"/>
  <c r="L28" i="1"/>
  <c r="L36" i="1"/>
  <c r="L44" i="1"/>
  <c r="L52" i="1"/>
  <c r="L60" i="1"/>
  <c r="L68" i="1"/>
  <c r="L76" i="1"/>
  <c r="L84" i="1"/>
  <c r="L92" i="1"/>
  <c r="L100" i="1"/>
  <c r="L108" i="1"/>
  <c r="L116" i="1"/>
  <c r="L124" i="1"/>
  <c r="L132" i="1"/>
  <c r="L140" i="1"/>
  <c r="L148" i="1"/>
  <c r="L156" i="1"/>
  <c r="L164" i="1"/>
  <c r="L172" i="1"/>
  <c r="L180" i="1"/>
  <c r="L188" i="1"/>
  <c r="L196" i="1"/>
  <c r="L204" i="1"/>
  <c r="L212" i="1"/>
  <c r="L220" i="1"/>
  <c r="L194" i="1"/>
  <c r="L218" i="1"/>
  <c r="L197" i="1"/>
  <c r="L205" i="1"/>
  <c r="L211" i="1"/>
  <c r="L54" i="1"/>
  <c r="L110" i="1"/>
  <c r="L142" i="1"/>
  <c r="L15" i="1"/>
  <c r="L23" i="1"/>
  <c r="L31" i="1"/>
  <c r="L39" i="1"/>
  <c r="L47" i="1"/>
  <c r="L55" i="1"/>
  <c r="L63" i="1"/>
  <c r="L71" i="1"/>
  <c r="L79" i="1"/>
  <c r="L87" i="1"/>
  <c r="L95" i="1"/>
  <c r="L103" i="1"/>
  <c r="L111" i="1"/>
  <c r="L119" i="1"/>
  <c r="L127" i="1"/>
  <c r="L135" i="1"/>
  <c r="L143" i="1"/>
  <c r="L151" i="1"/>
  <c r="L159" i="1"/>
  <c r="L167" i="1"/>
  <c r="L175" i="1"/>
  <c r="L183" i="1"/>
  <c r="L191" i="1"/>
  <c r="L199" i="1"/>
  <c r="L207" i="1"/>
  <c r="L215" i="1"/>
  <c r="L223" i="1"/>
  <c r="L178" i="1"/>
  <c r="L202" i="1"/>
  <c r="L221" i="1"/>
  <c r="L216" i="1"/>
  <c r="L203" i="1"/>
  <c r="L94" i="1"/>
  <c r="L206" i="1"/>
  <c r="L18" i="1"/>
  <c r="L26" i="1"/>
  <c r="L34" i="1"/>
  <c r="L42" i="1"/>
  <c r="L50" i="1"/>
  <c r="L58" i="1"/>
  <c r="L66" i="1"/>
  <c r="L74" i="1"/>
  <c r="L82" i="1"/>
  <c r="L90" i="1"/>
  <c r="L98" i="1"/>
  <c r="L106" i="1"/>
  <c r="L114" i="1"/>
  <c r="L122" i="1"/>
  <c r="L130" i="1"/>
  <c r="L138" i="1"/>
  <c r="L146" i="1"/>
  <c r="L154" i="1"/>
  <c r="L162" i="1"/>
  <c r="L170" i="1"/>
  <c r="L186" i="1"/>
  <c r="L224" i="1"/>
  <c r="L118" i="1"/>
  <c r="L21" i="1"/>
  <c r="L29" i="1"/>
  <c r="L37" i="1"/>
  <c r="L45" i="1"/>
  <c r="L53" i="1"/>
  <c r="L61" i="1"/>
  <c r="L69" i="1"/>
  <c r="L77" i="1"/>
  <c r="L85" i="1"/>
  <c r="L93" i="1"/>
  <c r="L101" i="1"/>
  <c r="L109" i="1"/>
  <c r="L117" i="1"/>
  <c r="L125" i="1"/>
  <c r="L133" i="1"/>
  <c r="L141" i="1"/>
  <c r="L149" i="1"/>
  <c r="L157" i="1"/>
  <c r="L165" i="1"/>
  <c r="L173" i="1"/>
  <c r="L181" i="1"/>
  <c r="L189" i="1"/>
  <c r="L200" i="1"/>
  <c r="L208" i="1"/>
  <c r="L219" i="1"/>
  <c r="L46" i="1"/>
  <c r="L70" i="1"/>
  <c r="L78" i="1"/>
  <c r="L102" i="1"/>
  <c r="L174" i="1"/>
  <c r="L182" i="1"/>
  <c r="L222" i="1"/>
  <c r="L16" i="1"/>
  <c r="L24" i="1"/>
  <c r="L32" i="1"/>
  <c r="L40" i="1"/>
  <c r="L48" i="1"/>
  <c r="L56" i="1"/>
  <c r="L64" i="1"/>
  <c r="L72" i="1"/>
  <c r="L80" i="1"/>
  <c r="L88" i="1"/>
  <c r="L96" i="1"/>
  <c r="L104" i="1"/>
  <c r="L112" i="1"/>
  <c r="L120" i="1"/>
  <c r="L128" i="1"/>
  <c r="L136" i="1"/>
  <c r="L144" i="1"/>
  <c r="L152" i="1"/>
  <c r="L160" i="1"/>
  <c r="L168" i="1"/>
  <c r="L176" i="1"/>
  <c r="L184" i="1"/>
  <c r="L192" i="1"/>
  <c r="L158" i="1"/>
  <c r="L166" i="1"/>
  <c r="L198" i="1"/>
  <c r="L19" i="1"/>
  <c r="L27" i="1"/>
  <c r="L35" i="1"/>
  <c r="L43" i="1"/>
  <c r="L51" i="1"/>
  <c r="L59" i="1"/>
  <c r="L67" i="1"/>
  <c r="L75" i="1"/>
  <c r="L83" i="1"/>
  <c r="L91" i="1"/>
  <c r="L99" i="1"/>
  <c r="L107" i="1"/>
  <c r="L115" i="1"/>
  <c r="L123" i="1"/>
  <c r="L131" i="1"/>
  <c r="L139" i="1"/>
  <c r="L147" i="1"/>
  <c r="L155" i="1"/>
  <c r="L163" i="1"/>
  <c r="L171" i="1"/>
  <c r="L179" i="1"/>
  <c r="L187" i="1"/>
  <c r="L195" i="1"/>
  <c r="L30" i="1"/>
  <c r="L134" i="1"/>
  <c r="L150" i="1"/>
  <c r="L190" i="1"/>
  <c r="O34" i="2" l="1"/>
  <c r="P34" i="2"/>
  <c r="O35" i="2"/>
  <c r="P35" i="2"/>
  <c r="O36" i="2"/>
  <c r="P36" i="2"/>
  <c r="O37" i="2"/>
  <c r="P37" i="2"/>
  <c r="O38" i="2"/>
  <c r="P38" i="2"/>
  <c r="O39" i="2"/>
  <c r="P39" i="2"/>
  <c r="O40" i="2"/>
  <c r="P40" i="2"/>
  <c r="O41" i="2"/>
  <c r="P41" i="2"/>
  <c r="O42" i="2"/>
  <c r="P42" i="2"/>
  <c r="O43" i="2"/>
  <c r="P43" i="2"/>
  <c r="O44" i="2"/>
  <c r="P44" i="2"/>
  <c r="O45" i="2"/>
  <c r="P45" i="2"/>
  <c r="O46" i="2"/>
  <c r="P46" i="2"/>
  <c r="O47" i="2"/>
  <c r="P47" i="2"/>
  <c r="O48" i="2"/>
  <c r="P48" i="2"/>
  <c r="O49" i="2"/>
  <c r="P49" i="2"/>
  <c r="O50" i="2"/>
  <c r="P50" i="2"/>
  <c r="O51" i="2"/>
  <c r="P51" i="2"/>
  <c r="O52" i="2"/>
  <c r="P52" i="2"/>
  <c r="O53" i="2"/>
  <c r="P53" i="2"/>
  <c r="O54" i="2"/>
  <c r="P54" i="2"/>
  <c r="O55" i="2"/>
  <c r="P55" i="2"/>
  <c r="O56" i="2"/>
  <c r="P56" i="2"/>
  <c r="O57" i="2"/>
  <c r="P57" i="2"/>
  <c r="O58" i="2"/>
  <c r="P58" i="2"/>
  <c r="O59" i="2"/>
  <c r="P59" i="2"/>
  <c r="O60" i="2"/>
  <c r="P60" i="2"/>
  <c r="O61" i="2"/>
  <c r="P61" i="2"/>
  <c r="O62" i="2"/>
  <c r="P62" i="2"/>
  <c r="O63" i="2"/>
  <c r="P63" i="2"/>
  <c r="O64" i="2"/>
  <c r="P64" i="2"/>
  <c r="O65" i="2"/>
  <c r="P65" i="2"/>
  <c r="O66" i="2"/>
  <c r="P66" i="2"/>
  <c r="O67" i="2"/>
  <c r="P67" i="2"/>
  <c r="O68" i="2"/>
  <c r="P68" i="2"/>
  <c r="O69" i="2"/>
  <c r="P69" i="2"/>
  <c r="O70" i="2"/>
  <c r="P70" i="2"/>
  <c r="O71" i="2"/>
  <c r="P71" i="2"/>
  <c r="O72" i="2"/>
  <c r="P72" i="2"/>
  <c r="O73" i="2"/>
  <c r="P73" i="2"/>
  <c r="O74" i="2"/>
  <c r="P74" i="2"/>
  <c r="O75" i="2"/>
  <c r="P75" i="2"/>
  <c r="O76" i="2"/>
  <c r="P76" i="2"/>
  <c r="O77" i="2"/>
  <c r="P77" i="2"/>
  <c r="O78" i="2"/>
  <c r="P78" i="2"/>
  <c r="O79" i="2"/>
  <c r="P79" i="2"/>
  <c r="O80" i="2"/>
  <c r="P80" i="2"/>
  <c r="O81" i="2"/>
  <c r="P81" i="2"/>
  <c r="O82" i="2"/>
  <c r="P82" i="2"/>
  <c r="O83" i="2"/>
  <c r="P83" i="2"/>
  <c r="O84" i="2"/>
  <c r="P84" i="2"/>
  <c r="O85" i="2"/>
  <c r="P85" i="2"/>
  <c r="O86" i="2"/>
  <c r="P86" i="2"/>
  <c r="O87" i="2"/>
  <c r="P87" i="2"/>
  <c r="O88" i="2"/>
  <c r="P88" i="2"/>
  <c r="O89" i="2"/>
  <c r="P89" i="2"/>
  <c r="O90" i="2"/>
  <c r="P90" i="2"/>
  <c r="O91" i="2"/>
  <c r="P91" i="2"/>
  <c r="O92" i="2"/>
  <c r="P92" i="2"/>
  <c r="O93" i="2"/>
  <c r="P93" i="2"/>
  <c r="O94" i="2"/>
  <c r="P94" i="2"/>
  <c r="O95" i="2"/>
  <c r="P95" i="2"/>
  <c r="O96" i="2"/>
  <c r="P96" i="2"/>
  <c r="O97" i="2"/>
  <c r="P97" i="2"/>
  <c r="O98" i="2"/>
  <c r="P98" i="2"/>
  <c r="O99" i="2"/>
  <c r="P99" i="2"/>
  <c r="O100" i="2"/>
  <c r="P100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N86" i="2"/>
  <c r="N107" i="2"/>
  <c r="N101" i="2"/>
  <c r="N73" i="2"/>
  <c r="N52" i="2"/>
  <c r="N51" i="2"/>
  <c r="N70" i="2"/>
  <c r="N99" i="2"/>
  <c r="N71" i="2"/>
  <c r="N50" i="2"/>
  <c r="N90" i="2"/>
  <c r="N82" i="2"/>
  <c r="N57" i="2"/>
  <c r="N38" i="2"/>
  <c r="N78" i="2"/>
  <c r="N74" i="2"/>
  <c r="N84" i="2"/>
  <c r="N63" i="2"/>
  <c r="N97" i="2"/>
  <c r="N69" i="2"/>
  <c r="N49" i="2"/>
  <c r="N110" i="2"/>
  <c r="N77" i="2"/>
  <c r="N95" i="2"/>
  <c r="N68" i="2"/>
  <c r="N48" i="2"/>
  <c r="N45" i="2"/>
  <c r="N88" i="2"/>
  <c r="N39" i="2"/>
  <c r="N65" i="2"/>
  <c r="N53" i="2"/>
  <c r="N103" i="2"/>
  <c r="N98" i="2"/>
  <c r="N94" i="2"/>
  <c r="N67" i="2"/>
  <c r="N47" i="2"/>
  <c r="N100" i="2"/>
  <c r="N37" i="2"/>
  <c r="N92" i="2"/>
  <c r="N66" i="2"/>
  <c r="N46" i="2"/>
  <c r="N64" i="2"/>
  <c r="N62" i="2"/>
  <c r="N56" i="2"/>
  <c r="N75" i="2"/>
  <c r="N96" i="2"/>
  <c r="N44" i="2"/>
  <c r="N43" i="2"/>
  <c r="N108" i="2"/>
  <c r="N79" i="2"/>
  <c r="N113" i="2"/>
  <c r="N87" i="2"/>
  <c r="N61" i="2"/>
  <c r="N42" i="2"/>
  <c r="N72" i="2"/>
  <c r="N112" i="2"/>
  <c r="N85" i="2"/>
  <c r="N60" i="2"/>
  <c r="N41" i="2"/>
  <c r="N109" i="2"/>
  <c r="N80" i="2"/>
  <c r="N36" i="2"/>
  <c r="N93" i="2"/>
  <c r="N111" i="2"/>
  <c r="N83" i="2"/>
  <c r="N59" i="2"/>
  <c r="N40" i="2"/>
  <c r="N58" i="2"/>
  <c r="N81" i="2"/>
  <c r="N106" i="2"/>
  <c r="N55" i="2"/>
  <c r="N34" i="2"/>
  <c r="N91" i="2"/>
  <c r="N89" i="2"/>
  <c r="N104" i="2"/>
  <c r="N76" i="2"/>
  <c r="N54" i="2"/>
  <c r="N35" i="2"/>
  <c r="N105" i="2"/>
  <c r="N102" i="2"/>
  <c r="P9" i="2" l="1"/>
  <c r="O13" i="2" l="1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0" i="2"/>
  <c r="P20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O31" i="2"/>
  <c r="P31" i="2"/>
  <c r="O32" i="2"/>
  <c r="P32" i="2"/>
  <c r="O33" i="2"/>
  <c r="P33" i="2"/>
  <c r="N21" i="2"/>
  <c r="N18" i="2"/>
  <c r="N15" i="2"/>
  <c r="N17" i="2"/>
  <c r="N23" i="2"/>
  <c r="N14" i="2"/>
  <c r="N31" i="2"/>
  <c r="N29" i="2"/>
  <c r="N26" i="2"/>
  <c r="N20" i="2"/>
  <c r="N25" i="2"/>
  <c r="N19" i="2"/>
  <c r="N13" i="2"/>
  <c r="N30" i="2"/>
  <c r="N32" i="2"/>
  <c r="N28" i="2"/>
  <c r="N27" i="2"/>
  <c r="N33" i="2"/>
  <c r="N22" i="2"/>
  <c r="N16" i="2"/>
  <c r="N24" i="2"/>
  <c r="P12" i="2" l="1"/>
  <c r="P7" i="2" s="1"/>
  <c r="O12" i="2"/>
  <c r="N11" i="1"/>
  <c r="M11" i="1"/>
  <c r="N6" i="1" l="1"/>
  <c r="N9" i="2"/>
  <c r="N12" i="2"/>
  <c r="L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Fred Sonnenrein</author>
  </authors>
  <commentList>
    <comment ref="L8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Zeit die für die Syncronisation zwischen den Servern benötigt wird</t>
        </r>
      </text>
    </comment>
  </commentList>
</comments>
</file>

<file path=xl/sharedStrings.xml><?xml version="1.0" encoding="utf-8"?>
<sst xmlns="http://schemas.openxmlformats.org/spreadsheetml/2006/main" count="539" uniqueCount="144">
  <si>
    <t>Port:</t>
  </si>
  <si>
    <t>Geheimzahl:</t>
  </si>
  <si>
    <t>Nummer</t>
  </si>
  <si>
    <t>Name</t>
  </si>
  <si>
    <t>Flags</t>
  </si>
  <si>
    <t>Typ</t>
  </si>
  <si>
    <t>Adresse</t>
  </si>
  <si>
    <t>IP</t>
  </si>
  <si>
    <t>Port</t>
  </si>
  <si>
    <t>Durchwahl</t>
  </si>
  <si>
    <t>Geheimzahl</t>
  </si>
  <si>
    <t>Datum</t>
  </si>
  <si>
    <t>Größe (Bytes)</t>
  </si>
  <si>
    <t>Suchmuster:</t>
  </si>
  <si>
    <t>GMT +X:</t>
  </si>
  <si>
    <t>IP (roh)</t>
  </si>
  <si>
    <t>Datum (roh)</t>
  </si>
  <si>
    <t>Adresse TlnServer:</t>
  </si>
  <si>
    <t>Port TlnServer:</t>
  </si>
  <si>
    <t>Abfrage:</t>
  </si>
  <si>
    <t>Pin:</t>
  </si>
  <si>
    <t>DynIP Nummer:</t>
  </si>
  <si>
    <t>01 und 02 Telegramm:</t>
  </si>
  <si>
    <t>03, 04 und 05 Telegramm:</t>
  </si>
  <si>
    <t>0a und 05 Telegramm:</t>
  </si>
  <si>
    <t>06, 07 und 05 Telegramm:</t>
  </si>
  <si>
    <t>Zeit-Inkrem.</t>
  </si>
  <si>
    <t>Muster:</t>
  </si>
  <si>
    <t>test.aenderung</t>
  </si>
  <si>
    <t>Schritt</t>
  </si>
  <si>
    <t>Mustereintrag</t>
  </si>
  <si>
    <t>#</t>
  </si>
  <si>
    <t>Server-PIN</t>
  </si>
  <si>
    <t>Resultat</t>
  </si>
  <si>
    <t>Sync-Dauer</t>
  </si>
  <si>
    <t>DW</t>
  </si>
  <si>
    <t>-----</t>
  </si>
  <si>
    <t>Debug-Info</t>
  </si>
  <si>
    <t>Debug-Ausgabe</t>
  </si>
  <si>
    <t>Testeintrag fuer Server-Test</t>
  </si>
  <si>
    <t>telexgateway.de</t>
  </si>
  <si>
    <t>Testeintrag fuer Server-Test Typ0</t>
  </si>
  <si>
    <t>Typen Senden 1</t>
  </si>
  <si>
    <t>ok</t>
  </si>
  <si>
    <t>Typen Lesen 1 NrAbfr</t>
  </si>
  <si>
    <t>ok: nicht gefunden</t>
  </si>
  <si>
    <t>Typen Lesen 1 NameAbfr</t>
  </si>
  <si>
    <t>DynIP Anfrage</t>
  </si>
  <si>
    <t>DynIP VollAbfr</t>
  </si>
  <si>
    <t>?</t>
  </si>
  <si>
    <t>Typen Lesen 1 AsciiAbfr</t>
  </si>
  <si>
    <t>Abweichung</t>
  </si>
  <si>
    <t>Typen Lesen 1 VollAbfr</t>
  </si>
  <si>
    <t>ok: Neu angelegt</t>
  </si>
  <si>
    <t>Testeintrag fuer Server-Test Typ1</t>
  </si>
  <si>
    <t>unzulässig erlaubt</t>
  </si>
  <si>
    <t>DynIP NachDyn NrAbfr</t>
  </si>
  <si>
    <t>Testeintrag fuer Server-Test Typ2</t>
  </si>
  <si>
    <t>Testeintrag fuer Server-Test Typ3</t>
  </si>
  <si>
    <t>Testeintrag fuer Server-Test Typ4</t>
  </si>
  <si>
    <t>Testeintrag fuer Server-Test Typ5</t>
  </si>
  <si>
    <t>DynIP 1 NrAbfr</t>
  </si>
  <si>
    <t>Testeintrag fuer Server-Test Typ6</t>
  </si>
  <si>
    <t>Testeintrag fuer Server-Test Typ0-gesp</t>
  </si>
  <si>
    <t>Testeintrag fuer Server-Test Typ1-gesp</t>
  </si>
  <si>
    <t>Testeintrag fuer Server-Test Typ2-gesp</t>
  </si>
  <si>
    <t>Testeintrag fuer Server-Test Typ3-gesp</t>
  </si>
  <si>
    <t>Testeintrag fuer Server-Test Typ4-gesp</t>
  </si>
  <si>
    <t>Testeintrag fuer Server-Test Typ5-gesp</t>
  </si>
  <si>
    <t>Testeintrag fuer Server-Test Typ6-gesp</t>
  </si>
  <si>
    <t>Testeintrag fuer Server-Test DuWa -</t>
  </si>
  <si>
    <t>DuWa - Senden 1</t>
  </si>
  <si>
    <t>DuWa - Lesen 1 NrAbfr</t>
  </si>
  <si>
    <t>DuWa - Lesen 1 NameAbfr</t>
  </si>
  <si>
    <t>DuWa - Lesen 1 AsciiAbfr</t>
  </si>
  <si>
    <t>DuWa - Lesen 1 VollAbfr</t>
  </si>
  <si>
    <t>Testeintrag fuer Server-Test DuWa 0</t>
  </si>
  <si>
    <t>DuWa 0 Senden 1</t>
  </si>
  <si>
    <t>DuWa 0 Lesen 1 NrAbfr</t>
  </si>
  <si>
    <t>DuWa 0 Lesen 1 NameAbfr</t>
  </si>
  <si>
    <t>DuWa 0 Lesen 1 AsciiAbfr</t>
  </si>
  <si>
    <t>DuWa 0 Lesen 1 VollAbfr</t>
  </si>
  <si>
    <t>Testeintrag fuer Server-Test DuWa 1</t>
  </si>
  <si>
    <t>DuWa 1 Senden 1</t>
  </si>
  <si>
    <t>DuWa 1 Lesen 1 NrAbfr</t>
  </si>
  <si>
    <t>DuWa 1 Lesen 1 NameAbfr</t>
  </si>
  <si>
    <t>DuWa 1 Lesen 1 AsciiAbfr</t>
  </si>
  <si>
    <t>DuWa 1 Lesen 1 VollAbfr</t>
  </si>
  <si>
    <t>Testeintrag fuer Server-Test DuWa 9</t>
  </si>
  <si>
    <t>DuWa 9 Senden 1</t>
  </si>
  <si>
    <t>DuWa 9 Lesen 1 NrAbfr</t>
  </si>
  <si>
    <t>DuWa 9 Lesen 1 NameAbfr</t>
  </si>
  <si>
    <t>DuWa 9 Lesen 1 AsciiAbfr</t>
  </si>
  <si>
    <t>DuWa 9 Lesen 1 VollAbfr</t>
  </si>
  <si>
    <t>Testeintrag fuer Server-Test DuWa 00</t>
  </si>
  <si>
    <t>DuWa 00 Senden 1</t>
  </si>
  <si>
    <t>DuWa 00 Lesen 1 NrAbfr</t>
  </si>
  <si>
    <t>DuWa 00 Lesen 1 NameAbfr</t>
  </si>
  <si>
    <t>DuWa 00 Lesen 1 AsciiAbfr</t>
  </si>
  <si>
    <t>DuWa 00 Lesen 1 VollAbfr</t>
  </si>
  <si>
    <t>Testeintrag fuer Server-Test DuWa 01</t>
  </si>
  <si>
    <t>DuWa 01 Senden 1</t>
  </si>
  <si>
    <t>DuWa 01 Lesen 1 NrAbfr</t>
  </si>
  <si>
    <t>DuWa 01 Lesen 1 NameAbfr</t>
  </si>
  <si>
    <t>DuWa 01 Lesen 1 AsciiAbfr</t>
  </si>
  <si>
    <t>DuWa 01 Lesen 1 VollAbfr</t>
  </si>
  <si>
    <t>Testeintrag fuer Server-Test DuWa 09</t>
  </si>
  <si>
    <t>DuWa 09 Senden 1</t>
  </si>
  <si>
    <t>DuWa 09 Lesen 1 NrAbfr</t>
  </si>
  <si>
    <t>DuWa 09 Lesen 1 NameAbfr</t>
  </si>
  <si>
    <t>ok (verweigert) / SendeDynIPAktualisierung(1): Ungültiger Code oder Länge: 0xFF / 66</t>
  </si>
  <si>
    <t>DuWa 09 Lesen 1 AsciiAbfr</t>
  </si>
  <si>
    <t>DuWa 09 Lesen 1 VollAbfr</t>
  </si>
  <si>
    <t>Testeintrag fuer Server-Test DuWa 99</t>
  </si>
  <si>
    <t>DuWa 99 Senden 1</t>
  </si>
  <si>
    <t>DuWa 99 Lesen 1 NrAbfr</t>
  </si>
  <si>
    <t>DuWa 99 Lesen 1 NameAbfr</t>
  </si>
  <si>
    <t>DuWa 99 Lesen 1 AsciiAbfr</t>
  </si>
  <si>
    <t>DuWa 99 Lesen 1 VollAbfr</t>
  </si>
  <si>
    <t>Testeintrag fuer Server-Test DatumRef</t>
  </si>
  <si>
    <t>DatumRef Senden 1</t>
  </si>
  <si>
    <t>DatumRef Lesen 1 NrAbfr</t>
  </si>
  <si>
    <t>DatumRef Lesen 1 NameAbfr</t>
  </si>
  <si>
    <t>DatumRef Lesen 1 AsciiAbfr</t>
  </si>
  <si>
    <t>DatumRef Lesen 1 VollAbfr</t>
  </si>
  <si>
    <t>Testeintrag fuer Server-Test Da Datum-1</t>
  </si>
  <si>
    <t>Datum-1 Senden 1</t>
  </si>
  <si>
    <t>Datum-1 Lesen 1 NrAbfr</t>
  </si>
  <si>
    <t>Datum-1 Lesen 1 NameAbfr</t>
  </si>
  <si>
    <t>Datum-1 Lesen 1 AsciiAbfr</t>
  </si>
  <si>
    <t>Datum-1 Lesen 1 VollAbfr</t>
  </si>
  <si>
    <t>Testeintrag fuer Server-Test Da Datum+1</t>
  </si>
  <si>
    <t>Datum+1 Senden 1</t>
  </si>
  <si>
    <t>Datum+1 Lesen 1 NrAbfr</t>
  </si>
  <si>
    <t>Datum+1 Lesen 1 NameAbfr</t>
  </si>
  <si>
    <t>Datum+1 Lesen 1 AsciiAbfr</t>
  </si>
  <si>
    <t>Datum+1 Lesen 1 VollAbfr</t>
  </si>
  <si>
    <t>tlnserv2.teleprinter.net</t>
  </si>
  <si>
    <t>tlnserv.teleprinter.net</t>
  </si>
  <si>
    <t>h.glsys.de</t>
  </si>
  <si>
    <t>max 102 &lt;-- 05 64 [2]</t>
  </si>
  <si>
    <t>Test1</t>
  </si>
  <si>
    <t>a.c.d.e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</si>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</sst>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top"/>
    </xf>
  </cellStyleXfs>
  <cellXfs count="48">
    <xf numFmtId="0" fontId="0" fillId="0" borderId="0" xfId="0">
      <alignment vertical="top"/>
    </xf>
    <xf numFmtId="0" fontId="0" fillId="0" borderId="0" xfId="0" applyNumberFormat="1">
      <alignment vertical="top"/>
    </xf>
    <xf numFmtId="0" fontId="2" fillId="0" borderId="0" xfId="0" applyFont="1">
      <alignment vertical="top"/>
    </xf>
    <xf numFmtId="164" fontId="0" fillId="0" borderId="0" xfId="0" applyNumberFormat="1">
      <alignment vertical="top"/>
    </xf>
    <xf numFmtId="0" fontId="0" fillId="0" borderId="0" xfId="0" applyNumberFormat="1" applyAlignment="1">
      <alignment horizontal="center" vertical="top"/>
    </xf>
    <xf numFmtId="0" fontId="3" fillId="2" borderId="1" xfId="0" applyFont="1" applyFill="1" applyBorder="1">
      <alignment vertical="top"/>
    </xf>
    <xf numFmtId="0" fontId="3" fillId="0" borderId="2" xfId="0" applyFont="1" applyBorder="1" applyAlignment="1">
      <alignment horizontal="center" vertical="top"/>
    </xf>
    <xf numFmtId="0" fontId="0" fillId="0" borderId="0" xfId="0" applyBorder="1">
      <alignment vertical="top"/>
    </xf>
    <xf numFmtId="0" fontId="3" fillId="2" borderId="3" xfId="0" applyFont="1" applyFill="1" applyBorder="1">
      <alignment vertical="top"/>
    </xf>
    <xf numFmtId="0" fontId="3" fillId="2" borderId="4" xfId="0" applyFont="1" applyFill="1" applyBorder="1">
      <alignment vertical="top"/>
    </xf>
    <xf numFmtId="0" fontId="1" fillId="3" borderId="0" xfId="0" applyFont="1" applyFill="1">
      <alignment vertical="top"/>
    </xf>
    <xf numFmtId="0" fontId="1" fillId="3" borderId="0" xfId="0" applyFont="1" applyFill="1" applyAlignment="1">
      <alignment horizontal="center" vertical="top"/>
    </xf>
    <xf numFmtId="0" fontId="0" fillId="3" borderId="0" xfId="0" applyFill="1">
      <alignment vertical="top"/>
    </xf>
    <xf numFmtId="0" fontId="3" fillId="3" borderId="0" xfId="0" applyFont="1" applyFill="1">
      <alignment vertical="top"/>
    </xf>
    <xf numFmtId="0" fontId="3" fillId="0" borderId="5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0" fillId="4" borderId="6" xfId="0" applyFill="1" applyBorder="1">
      <alignment vertical="top"/>
    </xf>
    <xf numFmtId="0" fontId="0" fillId="4" borderId="2" xfId="0" applyFill="1" applyBorder="1">
      <alignment vertical="top"/>
    </xf>
    <xf numFmtId="0" fontId="0" fillId="4" borderId="5" xfId="0" applyFill="1" applyBorder="1">
      <alignment vertical="top"/>
    </xf>
    <xf numFmtId="0" fontId="0" fillId="4" borderId="0" xfId="0" applyFill="1" applyBorder="1">
      <alignment vertical="top"/>
    </xf>
    <xf numFmtId="0" fontId="0" fillId="4" borderId="7" xfId="0" applyFill="1" applyBorder="1">
      <alignment vertical="top"/>
    </xf>
    <xf numFmtId="0" fontId="0" fillId="4" borderId="8" xfId="0" applyFill="1" applyBorder="1">
      <alignment vertical="top"/>
    </xf>
    <xf numFmtId="0" fontId="0" fillId="4" borderId="9" xfId="0" applyFill="1" applyBorder="1">
      <alignment vertical="top"/>
    </xf>
    <xf numFmtId="0" fontId="0" fillId="4" borderId="10" xfId="0" applyFill="1" applyBorder="1">
      <alignment vertical="top"/>
    </xf>
    <xf numFmtId="0" fontId="1" fillId="2" borderId="1" xfId="0" applyFont="1" applyFill="1" applyBorder="1" applyAlignment="1">
      <alignment horizontal="center" vertical="top"/>
    </xf>
    <xf numFmtId="1" fontId="3" fillId="0" borderId="2" xfId="0" applyNumberFormat="1" applyFont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1" fillId="0" borderId="6" xfId="0" applyFont="1" applyBorder="1" applyAlignment="1">
      <alignment horizontal="center" vertical="top"/>
    </xf>
    <xf numFmtId="0" fontId="1" fillId="2" borderId="11" xfId="0" applyFont="1" applyFill="1" applyBorder="1">
      <alignment vertical="top"/>
    </xf>
    <xf numFmtId="0" fontId="4" fillId="0" borderId="7" xfId="0" applyFont="1" applyBorder="1" applyAlignment="1">
      <alignment horizontal="center" vertical="top"/>
    </xf>
    <xf numFmtId="3" fontId="1" fillId="0" borderId="2" xfId="0" applyNumberFormat="1" applyFont="1" applyBorder="1" applyAlignment="1">
      <alignment horizontal="center" vertical="top"/>
    </xf>
    <xf numFmtId="0" fontId="4" fillId="5" borderId="0" xfId="0" applyFont="1" applyFill="1">
      <alignment vertical="top"/>
    </xf>
    <xf numFmtId="0" fontId="1" fillId="0" borderId="2" xfId="0" applyNumberFormat="1" applyFont="1" applyBorder="1" applyAlignment="1">
      <alignment horizontal="center" vertical="top"/>
    </xf>
    <xf numFmtId="0" fontId="1" fillId="6" borderId="0" xfId="0" applyFont="1" applyFill="1">
      <alignment vertical="top"/>
    </xf>
    <xf numFmtId="0" fontId="3" fillId="6" borderId="0" xfId="0" applyFont="1" applyFill="1">
      <alignment vertical="top"/>
    </xf>
    <xf numFmtId="0" fontId="0" fillId="0" borderId="0" xfId="0" quotePrefix="1">
      <alignment vertical="top"/>
    </xf>
    <xf numFmtId="0" fontId="1" fillId="6" borderId="1" xfId="0" applyFont="1" applyFill="1" applyBorder="1" applyAlignment="1">
      <alignment horizontal="center" vertical="top"/>
    </xf>
    <xf numFmtId="0" fontId="0" fillId="7" borderId="0" xfId="0" applyFill="1">
      <alignment vertical="top"/>
    </xf>
    <xf numFmtId="0" fontId="0" fillId="8" borderId="0" xfId="0" applyFill="1">
      <alignment vertical="top"/>
    </xf>
    <xf numFmtId="0" fontId="4" fillId="0" borderId="0" xfId="0" applyFont="1">
      <alignment vertical="top"/>
    </xf>
    <xf numFmtId="0" fontId="1" fillId="6" borderId="3" xfId="0" applyFont="1" applyFill="1" applyBorder="1" applyAlignment="1">
      <alignment horizontal="center" vertical="top"/>
    </xf>
    <xf numFmtId="0" fontId="3" fillId="6" borderId="4" xfId="0" applyFont="1" applyFill="1" applyBorder="1" applyAlignment="1">
      <alignment horizontal="center" vertical="top"/>
    </xf>
    <xf numFmtId="0" fontId="3" fillId="6" borderId="11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</cellXfs>
  <cellStyles count="1">
    <cellStyle name="Standard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</xdr:row>
          <xdr:rowOff>47625</xdr:rowOff>
        </xdr:from>
        <xdr:to>
          <xdr:col>9</xdr:col>
          <xdr:colOff>628650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holen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47625</xdr:rowOff>
        </xdr:from>
        <xdr:to>
          <xdr:col>9</xdr:col>
          <xdr:colOff>628650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66675</xdr:rowOff>
        </xdr:from>
        <xdr:to>
          <xdr:col>4</xdr:col>
          <xdr:colOff>1771650</xdr:colOff>
          <xdr:row>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Suche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9</xdr:row>
          <xdr:rowOff>66675</xdr:rowOff>
        </xdr:from>
        <xdr:to>
          <xdr:col>4</xdr:col>
          <xdr:colOff>1771650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Abfrage Eintrag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7</xdr:row>
          <xdr:rowOff>66675</xdr:rowOff>
        </xdr:from>
        <xdr:to>
          <xdr:col>11</xdr:col>
          <xdr:colOff>895350</xdr:colOff>
          <xdr:row>8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7</xdr:row>
          <xdr:rowOff>47625</xdr:rowOff>
        </xdr:from>
        <xdr:to>
          <xdr:col>9</xdr:col>
          <xdr:colOff>628650</xdr:colOff>
          <xdr:row>8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Einen Eintrag senden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95250</xdr:rowOff>
        </xdr:from>
        <xdr:to>
          <xdr:col>2</xdr:col>
          <xdr:colOff>771525</xdr:colOff>
          <xdr:row>5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95250</xdr:rowOff>
        </xdr:from>
        <xdr:to>
          <xdr:col>3</xdr:col>
          <xdr:colOff>2009775</xdr:colOff>
          <xdr:row>5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392"/>
  <sheetViews>
    <sheetView tabSelected="1" zoomScaleNormal="100" workbookViewId="0">
      <pane xSplit="2" ySplit="13" topLeftCell="C14" activePane="bottomRight" state="frozen"/>
      <selection pane="topRight" activeCell="C1" sqref="C1"/>
      <selection pane="bottomLeft" activeCell="A10" sqref="A10"/>
      <selection pane="bottomRight" activeCell="B21" sqref="B21"/>
    </sheetView>
  </sheetViews>
  <sheetFormatPr baseColWidth="10" defaultRowHeight="15" x14ac:dyDescent="0.25"/>
  <cols>
    <col min="1" max="1" width="14.28515625" customWidth="1"/>
    <col min="2" max="2" width="40.85546875" bestFit="1" customWidth="1"/>
    <col min="3" max="3" width="5.5703125" bestFit="1" customWidth="1"/>
    <col min="4" max="4" width="4.140625" bestFit="1" customWidth="1"/>
    <col min="5" max="5" width="27.5703125" bestFit="1" customWidth="1"/>
    <col min="6" max="6" width="12.28515625" customWidth="1"/>
    <col min="7" max="7" width="6.7109375" bestFit="1" customWidth="1"/>
    <col min="8" max="8" width="11" bestFit="1" customWidth="1"/>
    <col min="9" max="9" width="11.42578125" bestFit="1" customWidth="1"/>
    <col min="10" max="10" width="12.85546875" customWidth="1"/>
    <col min="11" max="11" width="7.85546875" bestFit="1" customWidth="1"/>
    <col min="12" max="12" width="16.42578125" customWidth="1"/>
    <col min="13" max="13" width="19.42578125" customWidth="1"/>
    <col min="14" max="14" width="13.28515625" bestFit="1" customWidth="1"/>
  </cols>
  <sheetData>
    <row r="1" spans="1:14" ht="15.75" thickBot="1" x14ac:dyDescent="0.3">
      <c r="E1" t="s">
        <v>24</v>
      </c>
      <c r="H1" t="s">
        <v>25</v>
      </c>
      <c r="L1" t="s">
        <v>22</v>
      </c>
    </row>
    <row r="2" spans="1:14" x14ac:dyDescent="0.25">
      <c r="B2" s="15" t="s">
        <v>17</v>
      </c>
      <c r="E2" s="15" t="s">
        <v>13</v>
      </c>
      <c r="H2" s="8" t="s">
        <v>1</v>
      </c>
      <c r="I2" s="9"/>
      <c r="J2" s="30" t="s">
        <v>26</v>
      </c>
      <c r="L2" s="25" t="s">
        <v>21</v>
      </c>
      <c r="N2" s="5" t="s">
        <v>14</v>
      </c>
    </row>
    <row r="3" spans="1:14" ht="15.75" thickBot="1" x14ac:dyDescent="0.3">
      <c r="B3" s="32" t="s">
        <v>139</v>
      </c>
      <c r="E3" s="29" t="s">
        <v>143</v>
      </c>
      <c r="H3" s="14">
        <v>424242</v>
      </c>
      <c r="I3" s="7"/>
      <c r="J3" s="31">
        <v>5</v>
      </c>
      <c r="L3" s="16">
        <v>33005784</v>
      </c>
      <c r="N3" s="6">
        <v>1</v>
      </c>
    </row>
    <row r="4" spans="1:14" ht="15.75" thickBot="1" x14ac:dyDescent="0.3">
      <c r="E4" s="17"/>
      <c r="H4" s="19"/>
      <c r="I4" s="20"/>
      <c r="J4" s="21"/>
      <c r="L4" s="27" t="s">
        <v>20</v>
      </c>
    </row>
    <row r="5" spans="1:14" ht="15.75" thickBot="1" x14ac:dyDescent="0.3">
      <c r="B5" s="25" t="s">
        <v>18</v>
      </c>
      <c r="E5" s="18"/>
      <c r="H5" s="19"/>
      <c r="I5" s="20"/>
      <c r="J5" s="21"/>
      <c r="L5" s="16">
        <v>554</v>
      </c>
    </row>
    <row r="6" spans="1:14" ht="15.75" thickBot="1" x14ac:dyDescent="0.3">
      <c r="B6" s="26">
        <v>11811</v>
      </c>
      <c r="H6" s="19"/>
      <c r="I6" s="20"/>
      <c r="J6" s="21"/>
      <c r="L6" s="27" t="s">
        <v>0</v>
      </c>
      <c r="N6" s="2">
        <f>SUM(N14:N951)</f>
        <v>3811</v>
      </c>
    </row>
    <row r="7" spans="1:14" ht="15.75" thickBot="1" x14ac:dyDescent="0.3">
      <c r="B7" t="s">
        <v>138</v>
      </c>
      <c r="E7" t="s">
        <v>23</v>
      </c>
      <c r="H7" s="19"/>
      <c r="I7" s="20"/>
      <c r="J7" s="21"/>
      <c r="L7" s="16">
        <v>331</v>
      </c>
    </row>
    <row r="8" spans="1:14" x14ac:dyDescent="0.25">
      <c r="B8" t="s">
        <v>137</v>
      </c>
      <c r="E8" s="25" t="s">
        <v>19</v>
      </c>
      <c r="H8" s="19"/>
      <c r="I8" s="20"/>
      <c r="J8" s="21"/>
      <c r="L8" s="17"/>
      <c r="M8" s="28"/>
    </row>
    <row r="9" spans="1:14" ht="15.75" thickBot="1" x14ac:dyDescent="0.3">
      <c r="B9" t="s">
        <v>139</v>
      </c>
      <c r="E9" s="16">
        <v>33005784</v>
      </c>
      <c r="H9" s="22"/>
      <c r="I9" s="23"/>
      <c r="J9" s="24"/>
      <c r="L9" s="18"/>
    </row>
    <row r="10" spans="1:14" x14ac:dyDescent="0.25">
      <c r="B10" s="38" t="s">
        <v>38</v>
      </c>
      <c r="E10" s="17"/>
    </row>
    <row r="11" spans="1:14" ht="15.75" thickBot="1" x14ac:dyDescent="0.3">
      <c r="B11" s="26" t="s">
        <v>140</v>
      </c>
      <c r="E11" s="18"/>
      <c r="K11" t="s">
        <v>27</v>
      </c>
      <c r="L11" s="1" t="str">
        <f>ip_to_string(F11)</f>
        <v>0.0.0.0</v>
      </c>
      <c r="M11" s="3">
        <f>(2^32+J11)*TIME(0,0,1)+2+TIME($N$3,0,0)</f>
        <v>49712.311296296291</v>
      </c>
      <c r="N11" s="4">
        <f xml:space="preserve"> 4 + 1 + 2 + 1 + LEN(B11)+1 + 4 + IF(OR(D11=1,D11=4,D11=6),LEN(E11)+1,0) + IF(OR(D11=2,D11=3,D11=5),4,0) + 5</f>
        <v>39</v>
      </c>
    </row>
    <row r="13" spans="1:14" x14ac:dyDescent="0.25">
      <c r="A13" s="10" t="s">
        <v>2</v>
      </c>
      <c r="B13" s="10" t="s">
        <v>3</v>
      </c>
      <c r="C13" s="11" t="s">
        <v>4</v>
      </c>
      <c r="D13" s="11" t="s">
        <v>5</v>
      </c>
      <c r="E13" s="10" t="s">
        <v>6</v>
      </c>
      <c r="F13" s="11" t="s">
        <v>15</v>
      </c>
      <c r="G13" s="10" t="s">
        <v>8</v>
      </c>
      <c r="H13" s="10" t="s">
        <v>9</v>
      </c>
      <c r="I13" s="11" t="s">
        <v>10</v>
      </c>
      <c r="J13" s="10" t="s">
        <v>16</v>
      </c>
      <c r="K13" s="12"/>
      <c r="L13" s="10" t="s">
        <v>7</v>
      </c>
      <c r="M13" s="13" t="s">
        <v>11</v>
      </c>
      <c r="N13" s="10" t="s">
        <v>12</v>
      </c>
    </row>
    <row r="14" spans="1:14" x14ac:dyDescent="0.25">
      <c r="A14">
        <v>250965</v>
      </c>
      <c r="L14" s="1" t="str">
        <f t="shared" ref="L14:L58" si="0">ip_to_string(F14)</f>
        <v>0.0.0.0</v>
      </c>
      <c r="M14" s="3">
        <f t="shared" ref="M14:M58" si="1">(2^32+J14)*TIME(0,0,1)+2+TIME($N$3,0,0)</f>
        <v>49712.311296296291</v>
      </c>
      <c r="N14" s="4">
        <f t="shared" ref="N14:N58" si="2" xml:space="preserve"> 4 + 1 + 2 + 1 + LEN(B14)+1 + 4 + IF(OR(D14=1,D14=4,D14=6),LEN(E14)+1,0) + IF(OR(D14=2,D14=3,D14=5),4,0) + 5</f>
        <v>18</v>
      </c>
    </row>
    <row r="15" spans="1:14" x14ac:dyDescent="0.25">
      <c r="A15">
        <v>643844</v>
      </c>
      <c r="L15" s="1" t="str">
        <f t="shared" si="0"/>
        <v>0.0.0.0</v>
      </c>
      <c r="M15" s="3">
        <f t="shared" si="1"/>
        <v>49712.311296296291</v>
      </c>
      <c r="N15" s="4">
        <f t="shared" si="2"/>
        <v>18</v>
      </c>
    </row>
    <row r="16" spans="1:14" x14ac:dyDescent="0.25">
      <c r="A16">
        <v>112893</v>
      </c>
      <c r="L16" s="1" t="str">
        <f t="shared" si="0"/>
        <v>0.0.0.0</v>
      </c>
      <c r="M16" s="3">
        <f t="shared" si="1"/>
        <v>49712.311296296291</v>
      </c>
      <c r="N16" s="4">
        <f t="shared" si="2"/>
        <v>18</v>
      </c>
    </row>
    <row r="17" spans="1:14" x14ac:dyDescent="0.25">
      <c r="A17">
        <v>35031</v>
      </c>
      <c r="L17" s="1" t="str">
        <f t="shared" si="0"/>
        <v>0.0.0.0</v>
      </c>
      <c r="M17" s="3">
        <f t="shared" si="1"/>
        <v>49712.311296296291</v>
      </c>
      <c r="N17" s="4">
        <f t="shared" si="2"/>
        <v>18</v>
      </c>
    </row>
    <row r="18" spans="1:14" x14ac:dyDescent="0.25">
      <c r="A18">
        <v>5215205</v>
      </c>
      <c r="L18" s="1" t="str">
        <f t="shared" si="0"/>
        <v>0.0.0.0</v>
      </c>
      <c r="M18" s="3">
        <f t="shared" si="1"/>
        <v>49712.311296296291</v>
      </c>
      <c r="N18" s="4">
        <f t="shared" si="2"/>
        <v>18</v>
      </c>
    </row>
    <row r="19" spans="1:14" x14ac:dyDescent="0.25">
      <c r="A19">
        <v>55684</v>
      </c>
      <c r="L19" s="1" t="str">
        <f t="shared" si="0"/>
        <v>0.0.0.0</v>
      </c>
      <c r="M19" s="3">
        <f t="shared" si="1"/>
        <v>49712.311296296291</v>
      </c>
      <c r="N19" s="4">
        <f t="shared" si="2"/>
        <v>18</v>
      </c>
    </row>
    <row r="20" spans="1:14" x14ac:dyDescent="0.25">
      <c r="A20">
        <v>3839918</v>
      </c>
      <c r="L20" s="1" t="str">
        <f t="shared" ref="L20" si="3">ip_to_string(F20)</f>
        <v>0.0.0.0</v>
      </c>
      <c r="M20" s="3">
        <f t="shared" ref="M20" si="4">(2^32+J20)*TIME(0,0,1)+2+TIME($N$3,0,0)</f>
        <v>49712.311296296291</v>
      </c>
      <c r="N20" s="4">
        <f t="shared" ref="N20" si="5" xml:space="preserve"> 4 + 1 + 2 + 1 + LEN(B20)+1 + 4 + IF(OR(D20=1,D20=4,D20=6),LEN(E20)+1,0) + IF(OR(D20=2,D20=3,D20=5),4,0) + 5</f>
        <v>18</v>
      </c>
    </row>
    <row r="21" spans="1:14" x14ac:dyDescent="0.25">
      <c r="A21">
        <v>33005784</v>
      </c>
      <c r="B21" t="s">
        <v>141</v>
      </c>
      <c r="C21">
        <v>0</v>
      </c>
      <c r="D21">
        <v>1</v>
      </c>
      <c r="E21" t="s">
        <v>142</v>
      </c>
      <c r="G21">
        <v>122</v>
      </c>
      <c r="H21">
        <v>0</v>
      </c>
      <c r="I21">
        <v>0</v>
      </c>
      <c r="J21">
        <v>10</v>
      </c>
      <c r="L21" s="1" t="str">
        <f t="shared" si="0"/>
        <v>0.0.0.0</v>
      </c>
      <c r="M21" s="3">
        <f t="shared" si="1"/>
        <v>49712.31141203703</v>
      </c>
      <c r="N21" s="4">
        <f t="shared" si="2"/>
        <v>31</v>
      </c>
    </row>
    <row r="22" spans="1:14" x14ac:dyDescent="0.25">
      <c r="A22">
        <v>8329396</v>
      </c>
      <c r="L22" s="1" t="str">
        <f t="shared" si="0"/>
        <v>0.0.0.0</v>
      </c>
      <c r="M22" s="3">
        <f t="shared" si="1"/>
        <v>49712.311296296291</v>
      </c>
      <c r="N22" s="4">
        <f t="shared" si="2"/>
        <v>18</v>
      </c>
    </row>
    <row r="23" spans="1:14" x14ac:dyDescent="0.25">
      <c r="A23">
        <v>2560100</v>
      </c>
      <c r="L23" s="1" t="str">
        <f t="shared" si="0"/>
        <v>0.0.0.0</v>
      </c>
      <c r="M23" s="3">
        <f t="shared" si="1"/>
        <v>49712.311296296291</v>
      </c>
      <c r="N23" s="4">
        <f t="shared" si="2"/>
        <v>18</v>
      </c>
    </row>
    <row r="24" spans="1:14" x14ac:dyDescent="0.25">
      <c r="A24">
        <v>33148</v>
      </c>
      <c r="L24" s="1" t="str">
        <f t="shared" si="0"/>
        <v>0.0.0.0</v>
      </c>
      <c r="M24" s="3">
        <f t="shared" si="1"/>
        <v>49712.311296296291</v>
      </c>
      <c r="N24" s="4">
        <f t="shared" si="2"/>
        <v>18</v>
      </c>
    </row>
    <row r="25" spans="1:14" x14ac:dyDescent="0.25">
      <c r="A25">
        <v>555888016</v>
      </c>
      <c r="L25" s="1" t="str">
        <f t="shared" si="0"/>
        <v>0.0.0.0</v>
      </c>
      <c r="M25" s="3">
        <f t="shared" si="1"/>
        <v>49712.311296296291</v>
      </c>
      <c r="N25" s="4">
        <f t="shared" si="2"/>
        <v>18</v>
      </c>
    </row>
    <row r="26" spans="1:14" x14ac:dyDescent="0.25">
      <c r="A26">
        <v>33005785</v>
      </c>
      <c r="L26" s="1" t="str">
        <f t="shared" si="0"/>
        <v>0.0.0.0</v>
      </c>
      <c r="M26" s="3">
        <f t="shared" si="1"/>
        <v>49712.311296296291</v>
      </c>
      <c r="N26" s="4">
        <f t="shared" si="2"/>
        <v>18</v>
      </c>
    </row>
    <row r="27" spans="1:14" x14ac:dyDescent="0.25">
      <c r="A27">
        <v>112276</v>
      </c>
      <c r="L27" s="1" t="str">
        <f t="shared" si="0"/>
        <v>0.0.0.0</v>
      </c>
      <c r="M27" s="3">
        <f t="shared" si="1"/>
        <v>49712.311296296291</v>
      </c>
      <c r="N27" s="4">
        <f t="shared" si="2"/>
        <v>18</v>
      </c>
    </row>
    <row r="28" spans="1:14" x14ac:dyDescent="0.25">
      <c r="A28">
        <v>11302</v>
      </c>
      <c r="L28" s="1" t="str">
        <f t="shared" si="0"/>
        <v>0.0.0.0</v>
      </c>
      <c r="M28" s="3">
        <f t="shared" si="1"/>
        <v>49712.311296296291</v>
      </c>
      <c r="N28" s="4">
        <f t="shared" si="2"/>
        <v>18</v>
      </c>
    </row>
    <row r="29" spans="1:14" x14ac:dyDescent="0.25">
      <c r="A29">
        <v>5212506</v>
      </c>
      <c r="L29" s="1" t="str">
        <f t="shared" si="0"/>
        <v>0.0.0.0</v>
      </c>
      <c r="M29" s="3">
        <f t="shared" si="1"/>
        <v>49712.311296296291</v>
      </c>
      <c r="N29" s="4">
        <f t="shared" si="2"/>
        <v>18</v>
      </c>
    </row>
    <row r="30" spans="1:14" x14ac:dyDescent="0.25">
      <c r="A30">
        <v>922014</v>
      </c>
      <c r="L30" s="1" t="str">
        <f t="shared" si="0"/>
        <v>0.0.0.0</v>
      </c>
      <c r="M30" s="3">
        <f t="shared" si="1"/>
        <v>49712.311296296291</v>
      </c>
      <c r="N30" s="4">
        <f t="shared" si="2"/>
        <v>18</v>
      </c>
    </row>
    <row r="31" spans="1:14" x14ac:dyDescent="0.25">
      <c r="A31">
        <v>555888022</v>
      </c>
      <c r="L31" s="1" t="str">
        <f t="shared" si="0"/>
        <v>0.0.0.0</v>
      </c>
      <c r="M31" s="3">
        <f t="shared" si="1"/>
        <v>49712.311296296291</v>
      </c>
      <c r="N31" s="4">
        <f t="shared" si="2"/>
        <v>18</v>
      </c>
    </row>
    <row r="32" spans="1:14" x14ac:dyDescent="0.25">
      <c r="A32">
        <v>92158</v>
      </c>
      <c r="L32" s="1" t="str">
        <f t="shared" si="0"/>
        <v>0.0.0.0</v>
      </c>
      <c r="M32" s="3">
        <f t="shared" si="1"/>
        <v>49712.311296296291</v>
      </c>
      <c r="N32" s="4">
        <f t="shared" si="2"/>
        <v>18</v>
      </c>
    </row>
    <row r="33" spans="1:14" x14ac:dyDescent="0.25">
      <c r="A33">
        <v>952513</v>
      </c>
      <c r="L33" s="1" t="str">
        <f t="shared" si="0"/>
        <v>0.0.0.0</v>
      </c>
      <c r="M33" s="3">
        <f t="shared" si="1"/>
        <v>49712.311296296291</v>
      </c>
      <c r="N33" s="4">
        <f t="shared" si="2"/>
        <v>18</v>
      </c>
    </row>
    <row r="34" spans="1:14" x14ac:dyDescent="0.25">
      <c r="A34">
        <v>555888002</v>
      </c>
      <c r="L34" s="1" t="str">
        <f t="shared" si="0"/>
        <v>0.0.0.0</v>
      </c>
      <c r="M34" s="3">
        <f t="shared" si="1"/>
        <v>49712.311296296291</v>
      </c>
      <c r="N34" s="4">
        <f t="shared" si="2"/>
        <v>18</v>
      </c>
    </row>
    <row r="35" spans="1:14" x14ac:dyDescent="0.25">
      <c r="A35">
        <v>33005783</v>
      </c>
      <c r="L35" s="1" t="str">
        <f t="shared" si="0"/>
        <v>0.0.0.0</v>
      </c>
      <c r="M35" s="3">
        <f t="shared" si="1"/>
        <v>49712.311296296291</v>
      </c>
      <c r="N35" s="4">
        <f t="shared" si="2"/>
        <v>18</v>
      </c>
    </row>
    <row r="36" spans="1:14" x14ac:dyDescent="0.25">
      <c r="A36">
        <v>33005782</v>
      </c>
      <c r="L36" s="1" t="str">
        <f t="shared" si="0"/>
        <v>0.0.0.0</v>
      </c>
      <c r="M36" s="3">
        <f t="shared" si="1"/>
        <v>49712.311296296291</v>
      </c>
      <c r="N36" s="4">
        <f t="shared" si="2"/>
        <v>18</v>
      </c>
    </row>
    <row r="37" spans="1:14" x14ac:dyDescent="0.25">
      <c r="A37">
        <v>2560109</v>
      </c>
      <c r="L37" s="1" t="str">
        <f t="shared" si="0"/>
        <v>0.0.0.0</v>
      </c>
      <c r="M37" s="3">
        <f t="shared" si="1"/>
        <v>49712.311296296291</v>
      </c>
      <c r="N37" s="4">
        <f t="shared" si="2"/>
        <v>18</v>
      </c>
    </row>
    <row r="38" spans="1:14" x14ac:dyDescent="0.25">
      <c r="A38">
        <v>555888025</v>
      </c>
      <c r="L38" s="1" t="str">
        <f t="shared" si="0"/>
        <v>0.0.0.0</v>
      </c>
      <c r="M38" s="3">
        <f t="shared" si="1"/>
        <v>49712.311296296291</v>
      </c>
      <c r="N38" s="4">
        <f t="shared" si="2"/>
        <v>18</v>
      </c>
    </row>
    <row r="39" spans="1:14" x14ac:dyDescent="0.25">
      <c r="A39">
        <v>643845</v>
      </c>
      <c r="L39" s="1" t="str">
        <f t="shared" si="0"/>
        <v>0.0.0.0</v>
      </c>
      <c r="M39" s="3">
        <f t="shared" si="1"/>
        <v>49712.311296296291</v>
      </c>
      <c r="N39" s="4">
        <f t="shared" si="2"/>
        <v>18</v>
      </c>
    </row>
    <row r="40" spans="1:14" x14ac:dyDescent="0.25">
      <c r="A40">
        <v>555888026</v>
      </c>
      <c r="L40" s="1" t="str">
        <f t="shared" si="0"/>
        <v>0.0.0.0</v>
      </c>
      <c r="M40" s="3">
        <f t="shared" si="1"/>
        <v>49712.311296296291</v>
      </c>
      <c r="N40" s="4">
        <f t="shared" si="2"/>
        <v>18</v>
      </c>
    </row>
    <row r="41" spans="1:14" x14ac:dyDescent="0.25">
      <c r="A41">
        <v>9998921</v>
      </c>
      <c r="L41" s="1" t="str">
        <f t="shared" si="0"/>
        <v>0.0.0.0</v>
      </c>
      <c r="M41" s="3">
        <f t="shared" si="1"/>
        <v>49712.311296296291</v>
      </c>
      <c r="N41" s="4">
        <f t="shared" si="2"/>
        <v>18</v>
      </c>
    </row>
    <row r="42" spans="1:14" x14ac:dyDescent="0.25">
      <c r="A42">
        <v>555888021</v>
      </c>
      <c r="L42" s="1" t="str">
        <f t="shared" si="0"/>
        <v>0.0.0.0</v>
      </c>
      <c r="M42" s="3">
        <f t="shared" si="1"/>
        <v>49712.311296296291</v>
      </c>
      <c r="N42" s="4">
        <f t="shared" si="2"/>
        <v>18</v>
      </c>
    </row>
    <row r="43" spans="1:14" x14ac:dyDescent="0.25">
      <c r="A43">
        <v>74711</v>
      </c>
      <c r="L43" s="1" t="str">
        <f t="shared" si="0"/>
        <v>0.0.0.0</v>
      </c>
      <c r="M43" s="3">
        <f t="shared" si="1"/>
        <v>49712.311296296291</v>
      </c>
      <c r="N43" s="4">
        <f t="shared" si="2"/>
        <v>18</v>
      </c>
    </row>
    <row r="44" spans="1:14" x14ac:dyDescent="0.25">
      <c r="A44">
        <v>2560099</v>
      </c>
      <c r="L44" s="1" t="str">
        <f t="shared" si="0"/>
        <v>0.0.0.0</v>
      </c>
      <c r="M44" s="3">
        <f t="shared" si="1"/>
        <v>49712.311296296291</v>
      </c>
      <c r="N44" s="4">
        <f t="shared" si="2"/>
        <v>18</v>
      </c>
    </row>
    <row r="45" spans="1:14" x14ac:dyDescent="0.25">
      <c r="A45">
        <v>121290</v>
      </c>
      <c r="L45" s="1" t="str">
        <f t="shared" si="0"/>
        <v>0.0.0.0</v>
      </c>
      <c r="M45" s="3">
        <f t="shared" si="1"/>
        <v>49712.311296296291</v>
      </c>
      <c r="N45" s="4">
        <f t="shared" si="2"/>
        <v>18</v>
      </c>
    </row>
    <row r="46" spans="1:14" x14ac:dyDescent="0.25">
      <c r="A46">
        <v>563399</v>
      </c>
      <c r="L46" s="1" t="str">
        <f t="shared" si="0"/>
        <v>0.0.0.0</v>
      </c>
      <c r="M46" s="3">
        <f t="shared" si="1"/>
        <v>49712.311296296291</v>
      </c>
      <c r="N46" s="4">
        <f t="shared" si="2"/>
        <v>18</v>
      </c>
    </row>
    <row r="47" spans="1:14" x14ac:dyDescent="0.25">
      <c r="A47">
        <v>770304</v>
      </c>
      <c r="L47" s="1" t="str">
        <f t="shared" si="0"/>
        <v>0.0.0.0</v>
      </c>
      <c r="M47" s="3">
        <f t="shared" si="1"/>
        <v>49712.311296296291</v>
      </c>
      <c r="N47" s="4">
        <f t="shared" si="2"/>
        <v>18</v>
      </c>
    </row>
    <row r="48" spans="1:14" x14ac:dyDescent="0.25">
      <c r="A48">
        <v>555888055</v>
      </c>
      <c r="L48" s="1" t="str">
        <f t="shared" si="0"/>
        <v>0.0.0.0</v>
      </c>
      <c r="M48" s="3">
        <f t="shared" si="1"/>
        <v>49712.311296296291</v>
      </c>
      <c r="N48" s="4">
        <f t="shared" si="2"/>
        <v>18</v>
      </c>
    </row>
    <row r="49" spans="1:14" x14ac:dyDescent="0.25">
      <c r="A49">
        <v>2560110</v>
      </c>
      <c r="L49" s="1" t="str">
        <f t="shared" si="0"/>
        <v>0.0.0.0</v>
      </c>
      <c r="M49" s="3">
        <f t="shared" si="1"/>
        <v>49712.311296296291</v>
      </c>
      <c r="N49" s="4">
        <f t="shared" si="2"/>
        <v>18</v>
      </c>
    </row>
    <row r="50" spans="1:14" x14ac:dyDescent="0.25">
      <c r="A50">
        <v>2560009</v>
      </c>
      <c r="L50" s="1" t="str">
        <f t="shared" si="0"/>
        <v>0.0.0.0</v>
      </c>
      <c r="M50" s="3">
        <f t="shared" si="1"/>
        <v>49712.311296296291</v>
      </c>
      <c r="N50" s="4">
        <f t="shared" si="2"/>
        <v>18</v>
      </c>
    </row>
    <row r="51" spans="1:14" x14ac:dyDescent="0.25">
      <c r="A51">
        <v>280839</v>
      </c>
      <c r="L51" s="1" t="str">
        <f t="shared" si="0"/>
        <v>0.0.0.0</v>
      </c>
      <c r="M51" s="3">
        <f t="shared" si="1"/>
        <v>49712.311296296291</v>
      </c>
      <c r="N51" s="4">
        <f t="shared" si="2"/>
        <v>18</v>
      </c>
    </row>
    <row r="52" spans="1:14" x14ac:dyDescent="0.25">
      <c r="A52">
        <v>2560000</v>
      </c>
      <c r="L52" s="1" t="str">
        <f t="shared" si="0"/>
        <v>0.0.0.0</v>
      </c>
      <c r="M52" s="3">
        <f t="shared" si="1"/>
        <v>49712.311296296291</v>
      </c>
      <c r="N52" s="4">
        <f t="shared" si="2"/>
        <v>18</v>
      </c>
    </row>
    <row r="53" spans="1:14" x14ac:dyDescent="0.25">
      <c r="A53">
        <v>888093</v>
      </c>
      <c r="L53" s="1" t="str">
        <f t="shared" si="0"/>
        <v>0.0.0.0</v>
      </c>
      <c r="M53" s="3">
        <f t="shared" si="1"/>
        <v>49712.311296296291</v>
      </c>
      <c r="N53" s="4">
        <f t="shared" si="2"/>
        <v>18</v>
      </c>
    </row>
    <row r="54" spans="1:14" x14ac:dyDescent="0.25">
      <c r="A54">
        <v>932028</v>
      </c>
      <c r="L54" s="1" t="str">
        <f t="shared" si="0"/>
        <v>0.0.0.0</v>
      </c>
      <c r="M54" s="3">
        <f t="shared" si="1"/>
        <v>49712.311296296291</v>
      </c>
      <c r="N54" s="4">
        <f t="shared" si="2"/>
        <v>18</v>
      </c>
    </row>
    <row r="55" spans="1:14" x14ac:dyDescent="0.25">
      <c r="A55">
        <v>555888001</v>
      </c>
      <c r="L55" s="1" t="str">
        <f t="shared" si="0"/>
        <v>0.0.0.0</v>
      </c>
      <c r="M55" s="3">
        <f t="shared" si="1"/>
        <v>49712.311296296291</v>
      </c>
      <c r="N55" s="4">
        <f t="shared" si="2"/>
        <v>18</v>
      </c>
    </row>
    <row r="56" spans="1:14" x14ac:dyDescent="0.25">
      <c r="A56">
        <v>555888015</v>
      </c>
      <c r="L56" s="1" t="str">
        <f t="shared" si="0"/>
        <v>0.0.0.0</v>
      </c>
      <c r="M56" s="3">
        <f t="shared" si="1"/>
        <v>49712.311296296291</v>
      </c>
      <c r="N56" s="4">
        <f t="shared" si="2"/>
        <v>18</v>
      </c>
    </row>
    <row r="57" spans="1:14" x14ac:dyDescent="0.25">
      <c r="A57">
        <v>2560090</v>
      </c>
      <c r="L57" s="1" t="str">
        <f t="shared" si="0"/>
        <v>0.0.0.0</v>
      </c>
      <c r="M57" s="3">
        <f t="shared" si="1"/>
        <v>49712.311296296291</v>
      </c>
      <c r="N57" s="4">
        <f t="shared" si="2"/>
        <v>18</v>
      </c>
    </row>
    <row r="58" spans="1:14" x14ac:dyDescent="0.25">
      <c r="A58">
        <v>2560010</v>
      </c>
      <c r="L58" s="1" t="str">
        <f t="shared" si="0"/>
        <v>0.0.0.0</v>
      </c>
      <c r="M58" s="3">
        <f t="shared" si="1"/>
        <v>49712.311296296291</v>
      </c>
      <c r="N58" s="4">
        <f t="shared" si="2"/>
        <v>18</v>
      </c>
    </row>
    <row r="59" spans="1:14" x14ac:dyDescent="0.25">
      <c r="A59">
        <v>555888024</v>
      </c>
      <c r="L59" s="1" t="str">
        <f t="shared" ref="L59:L122" si="6">ip_to_string(F59)</f>
        <v>0.0.0.0</v>
      </c>
      <c r="M59" s="3">
        <f t="shared" ref="M59:M122" si="7">(2^32+J59)*TIME(0,0,1)+2+TIME($N$3,0,0)</f>
        <v>49712.311296296291</v>
      </c>
      <c r="N59" s="4">
        <f t="shared" ref="N59:N122" si="8" xml:space="preserve"> 4 + 1 + 2 + 1 + LEN(B59)+1 + 4 + IF(OR(D59=1,D59=4,D59=6),LEN(E59)+1,0) + IF(OR(D59=2,D59=3,D59=5),4,0) + 5</f>
        <v>18</v>
      </c>
    </row>
    <row r="60" spans="1:14" x14ac:dyDescent="0.25">
      <c r="A60">
        <v>2560101</v>
      </c>
      <c r="L60" s="1" t="str">
        <f t="shared" si="6"/>
        <v>0.0.0.0</v>
      </c>
      <c r="M60" s="3">
        <f t="shared" si="7"/>
        <v>49712.311296296291</v>
      </c>
      <c r="N60" s="4">
        <f t="shared" si="8"/>
        <v>18</v>
      </c>
    </row>
    <row r="61" spans="1:14" x14ac:dyDescent="0.25">
      <c r="A61">
        <v>2560001</v>
      </c>
      <c r="L61" s="1" t="str">
        <f t="shared" si="6"/>
        <v>0.0.0.0</v>
      </c>
      <c r="M61" s="3">
        <f t="shared" si="7"/>
        <v>49712.311296296291</v>
      </c>
      <c r="N61" s="4">
        <f t="shared" si="8"/>
        <v>18</v>
      </c>
    </row>
    <row r="62" spans="1:14" x14ac:dyDescent="0.25">
      <c r="A62">
        <v>184138</v>
      </c>
      <c r="L62" s="1" t="str">
        <f t="shared" si="6"/>
        <v>0.0.0.0</v>
      </c>
      <c r="M62" s="3">
        <f t="shared" si="7"/>
        <v>49712.311296296291</v>
      </c>
      <c r="N62" s="4">
        <f t="shared" si="8"/>
        <v>18</v>
      </c>
    </row>
    <row r="63" spans="1:14" x14ac:dyDescent="0.25">
      <c r="A63">
        <v>740424</v>
      </c>
      <c r="L63" s="1" t="str">
        <f t="shared" si="6"/>
        <v>0.0.0.0</v>
      </c>
      <c r="M63" s="3">
        <f t="shared" si="7"/>
        <v>49712.311296296291</v>
      </c>
      <c r="N63" s="4">
        <f t="shared" si="8"/>
        <v>18</v>
      </c>
    </row>
    <row r="64" spans="1:14" x14ac:dyDescent="0.25">
      <c r="A64">
        <v>99609</v>
      </c>
      <c r="L64" s="1" t="str">
        <f t="shared" si="6"/>
        <v>0.0.0.0</v>
      </c>
      <c r="M64" s="3">
        <f t="shared" si="7"/>
        <v>49712.311296296291</v>
      </c>
      <c r="N64" s="4">
        <f t="shared" si="8"/>
        <v>18</v>
      </c>
    </row>
    <row r="65" spans="1:14" x14ac:dyDescent="0.25">
      <c r="A65">
        <v>122267</v>
      </c>
      <c r="L65" s="1" t="str">
        <f t="shared" si="6"/>
        <v>0.0.0.0</v>
      </c>
      <c r="M65" s="3">
        <f t="shared" si="7"/>
        <v>49712.311296296291</v>
      </c>
      <c r="N65" s="4">
        <f t="shared" si="8"/>
        <v>18</v>
      </c>
    </row>
    <row r="66" spans="1:14" x14ac:dyDescent="0.25">
      <c r="A66">
        <v>643804</v>
      </c>
      <c r="L66" s="1" t="str">
        <f t="shared" si="6"/>
        <v>0.0.0.0</v>
      </c>
      <c r="M66" s="3">
        <f t="shared" si="7"/>
        <v>49712.311296296291</v>
      </c>
      <c r="N66" s="4">
        <f t="shared" si="8"/>
        <v>18</v>
      </c>
    </row>
    <row r="67" spans="1:14" x14ac:dyDescent="0.25">
      <c r="A67">
        <v>8531082</v>
      </c>
      <c r="L67" s="1" t="str">
        <f t="shared" si="6"/>
        <v>0.0.0.0</v>
      </c>
      <c r="M67" s="3">
        <f t="shared" si="7"/>
        <v>49712.311296296291</v>
      </c>
      <c r="N67" s="4">
        <f t="shared" si="8"/>
        <v>18</v>
      </c>
    </row>
    <row r="68" spans="1:14" x14ac:dyDescent="0.25">
      <c r="A68">
        <v>242766</v>
      </c>
      <c r="L68" s="1" t="str">
        <f t="shared" si="6"/>
        <v>0.0.0.0</v>
      </c>
      <c r="M68" s="3">
        <f t="shared" si="7"/>
        <v>49712.311296296291</v>
      </c>
      <c r="N68" s="4">
        <f t="shared" si="8"/>
        <v>18</v>
      </c>
    </row>
    <row r="69" spans="1:14" x14ac:dyDescent="0.25">
      <c r="A69">
        <v>19990</v>
      </c>
      <c r="L69" s="1" t="str">
        <f t="shared" si="6"/>
        <v>0.0.0.0</v>
      </c>
      <c r="M69" s="3">
        <f t="shared" si="7"/>
        <v>49712.311296296291</v>
      </c>
      <c r="N69" s="4">
        <f t="shared" si="8"/>
        <v>18</v>
      </c>
    </row>
    <row r="70" spans="1:14" x14ac:dyDescent="0.25">
      <c r="A70">
        <v>33005784</v>
      </c>
      <c r="L70" s="1" t="str">
        <f t="shared" si="6"/>
        <v>0.0.0.0</v>
      </c>
      <c r="M70" s="3">
        <f t="shared" si="7"/>
        <v>49712.311296296291</v>
      </c>
      <c r="N70" s="4">
        <f t="shared" si="8"/>
        <v>18</v>
      </c>
    </row>
    <row r="71" spans="1:14" x14ac:dyDescent="0.25">
      <c r="A71">
        <v>826491</v>
      </c>
      <c r="L71" s="1" t="str">
        <f t="shared" si="6"/>
        <v>0.0.0.0</v>
      </c>
      <c r="M71" s="3">
        <f t="shared" si="7"/>
        <v>49712.311296296291</v>
      </c>
      <c r="N71" s="4">
        <f t="shared" si="8"/>
        <v>18</v>
      </c>
    </row>
    <row r="72" spans="1:14" x14ac:dyDescent="0.25">
      <c r="A72">
        <v>183244</v>
      </c>
      <c r="L72" s="1" t="str">
        <f t="shared" si="6"/>
        <v>0.0.0.0</v>
      </c>
      <c r="M72" s="3">
        <f t="shared" si="7"/>
        <v>49712.311296296291</v>
      </c>
      <c r="N72" s="4">
        <f t="shared" si="8"/>
        <v>18</v>
      </c>
    </row>
    <row r="73" spans="1:14" x14ac:dyDescent="0.25">
      <c r="A73">
        <v>531001</v>
      </c>
      <c r="L73" s="1" t="str">
        <f t="shared" si="6"/>
        <v>0.0.0.0</v>
      </c>
      <c r="M73" s="3">
        <f t="shared" si="7"/>
        <v>49712.311296296291</v>
      </c>
      <c r="N73" s="4">
        <f t="shared" si="8"/>
        <v>18</v>
      </c>
    </row>
    <row r="74" spans="1:14" x14ac:dyDescent="0.25">
      <c r="A74">
        <v>531075</v>
      </c>
      <c r="L74" s="1" t="str">
        <f t="shared" si="6"/>
        <v>0.0.0.0</v>
      </c>
      <c r="M74" s="3">
        <f t="shared" si="7"/>
        <v>49712.311296296291</v>
      </c>
      <c r="N74" s="4">
        <f t="shared" si="8"/>
        <v>18</v>
      </c>
    </row>
    <row r="75" spans="1:14" x14ac:dyDescent="0.25">
      <c r="A75">
        <v>531003</v>
      </c>
      <c r="L75" s="1" t="str">
        <f t="shared" si="6"/>
        <v>0.0.0.0</v>
      </c>
      <c r="M75" s="3">
        <f t="shared" si="7"/>
        <v>49712.311296296291</v>
      </c>
      <c r="N75" s="4">
        <f t="shared" si="8"/>
        <v>18</v>
      </c>
    </row>
    <row r="76" spans="1:14" x14ac:dyDescent="0.25">
      <c r="A76">
        <v>8579924</v>
      </c>
      <c r="L76" s="1" t="str">
        <f t="shared" si="6"/>
        <v>0.0.0.0</v>
      </c>
      <c r="M76" s="3">
        <f t="shared" si="7"/>
        <v>49712.311296296291</v>
      </c>
      <c r="N76" s="4">
        <f t="shared" si="8"/>
        <v>18</v>
      </c>
    </row>
    <row r="77" spans="1:14" x14ac:dyDescent="0.25">
      <c r="A77">
        <v>792911</v>
      </c>
      <c r="L77" s="1" t="str">
        <f t="shared" si="6"/>
        <v>0.0.0.0</v>
      </c>
      <c r="M77" s="3">
        <f t="shared" si="7"/>
        <v>49712.311296296291</v>
      </c>
      <c r="N77" s="4">
        <f t="shared" si="8"/>
        <v>18</v>
      </c>
    </row>
    <row r="78" spans="1:14" x14ac:dyDescent="0.25">
      <c r="A78">
        <v>781272</v>
      </c>
      <c r="L78" s="1" t="str">
        <f t="shared" si="6"/>
        <v>0.0.0.0</v>
      </c>
      <c r="M78" s="3">
        <f t="shared" si="7"/>
        <v>49712.311296296291</v>
      </c>
      <c r="N78" s="4">
        <f t="shared" si="8"/>
        <v>18</v>
      </c>
    </row>
    <row r="79" spans="1:14" x14ac:dyDescent="0.25">
      <c r="A79">
        <v>531004</v>
      </c>
      <c r="L79" s="1" t="str">
        <f t="shared" si="6"/>
        <v>0.0.0.0</v>
      </c>
      <c r="M79" s="3">
        <f t="shared" si="7"/>
        <v>49712.311296296291</v>
      </c>
      <c r="N79" s="4">
        <f t="shared" si="8"/>
        <v>18</v>
      </c>
    </row>
    <row r="80" spans="1:14" x14ac:dyDescent="0.25">
      <c r="A80">
        <v>531901</v>
      </c>
      <c r="L80" s="1" t="str">
        <f t="shared" si="6"/>
        <v>0.0.0.0</v>
      </c>
      <c r="M80" s="3">
        <f t="shared" si="7"/>
        <v>49712.311296296291</v>
      </c>
      <c r="N80" s="4">
        <f t="shared" si="8"/>
        <v>18</v>
      </c>
    </row>
    <row r="81" spans="1:14" x14ac:dyDescent="0.25">
      <c r="A81">
        <v>531999</v>
      </c>
      <c r="L81" s="1" t="str">
        <f t="shared" si="6"/>
        <v>0.0.0.0</v>
      </c>
      <c r="M81" s="3">
        <f t="shared" si="7"/>
        <v>49712.311296296291</v>
      </c>
      <c r="N81" s="4">
        <f t="shared" si="8"/>
        <v>18</v>
      </c>
    </row>
    <row r="82" spans="1:14" x14ac:dyDescent="0.25">
      <c r="A82">
        <v>531002</v>
      </c>
      <c r="L82" s="1" t="str">
        <f t="shared" si="6"/>
        <v>0.0.0.0</v>
      </c>
      <c r="M82" s="3">
        <f t="shared" si="7"/>
        <v>49712.311296296291</v>
      </c>
      <c r="N82" s="4">
        <f t="shared" si="8"/>
        <v>18</v>
      </c>
    </row>
    <row r="83" spans="1:14" x14ac:dyDescent="0.25">
      <c r="A83">
        <v>531009</v>
      </c>
      <c r="L83" s="1" t="str">
        <f t="shared" si="6"/>
        <v>0.0.0.0</v>
      </c>
      <c r="M83" s="3">
        <f t="shared" si="7"/>
        <v>49712.311296296291</v>
      </c>
      <c r="N83" s="4">
        <f t="shared" si="8"/>
        <v>18</v>
      </c>
    </row>
    <row r="84" spans="1:14" x14ac:dyDescent="0.25">
      <c r="A84">
        <v>952741</v>
      </c>
      <c r="L84" s="1" t="str">
        <f t="shared" si="6"/>
        <v>0.0.0.0</v>
      </c>
      <c r="M84" s="3">
        <f t="shared" si="7"/>
        <v>49712.311296296291</v>
      </c>
      <c r="N84" s="4">
        <f t="shared" si="8"/>
        <v>18</v>
      </c>
    </row>
    <row r="85" spans="1:14" x14ac:dyDescent="0.25">
      <c r="A85">
        <v>531099</v>
      </c>
      <c r="L85" s="1" t="str">
        <f t="shared" si="6"/>
        <v>0.0.0.0</v>
      </c>
      <c r="M85" s="3">
        <f t="shared" si="7"/>
        <v>49712.311296296291</v>
      </c>
      <c r="N85" s="4">
        <f t="shared" si="8"/>
        <v>18</v>
      </c>
    </row>
    <row r="86" spans="1:14" x14ac:dyDescent="0.25">
      <c r="A86">
        <v>531666</v>
      </c>
      <c r="L86" s="1" t="str">
        <f t="shared" si="6"/>
        <v>0.0.0.0</v>
      </c>
      <c r="M86" s="3">
        <f t="shared" si="7"/>
        <v>49712.311296296291</v>
      </c>
      <c r="N86" s="4">
        <f t="shared" si="8"/>
        <v>18</v>
      </c>
    </row>
    <row r="87" spans="1:14" x14ac:dyDescent="0.25">
      <c r="A87">
        <v>531072</v>
      </c>
      <c r="L87" s="1" t="str">
        <f t="shared" si="6"/>
        <v>0.0.0.0</v>
      </c>
      <c r="M87" s="3">
        <f t="shared" si="7"/>
        <v>49712.311296296291</v>
      </c>
      <c r="N87" s="4">
        <f t="shared" si="8"/>
        <v>18</v>
      </c>
    </row>
    <row r="88" spans="1:14" x14ac:dyDescent="0.25">
      <c r="A88">
        <v>944219</v>
      </c>
      <c r="L88" s="1" t="str">
        <f t="shared" si="6"/>
        <v>0.0.0.0</v>
      </c>
      <c r="M88" s="3">
        <f t="shared" si="7"/>
        <v>49712.311296296291</v>
      </c>
      <c r="N88" s="4">
        <f t="shared" si="8"/>
        <v>18</v>
      </c>
    </row>
    <row r="89" spans="1:14" x14ac:dyDescent="0.25">
      <c r="A89">
        <v>944966</v>
      </c>
      <c r="L89" s="1" t="str">
        <f t="shared" si="6"/>
        <v>0.0.0.0</v>
      </c>
      <c r="M89" s="3">
        <f t="shared" si="7"/>
        <v>49712.311296296291</v>
      </c>
      <c r="N89" s="4">
        <f t="shared" si="8"/>
        <v>18</v>
      </c>
    </row>
    <row r="90" spans="1:14" x14ac:dyDescent="0.25">
      <c r="A90">
        <v>944826</v>
      </c>
      <c r="L90" s="1" t="str">
        <f t="shared" si="6"/>
        <v>0.0.0.0</v>
      </c>
      <c r="M90" s="3">
        <f t="shared" si="7"/>
        <v>49712.311296296291</v>
      </c>
      <c r="N90" s="4">
        <f t="shared" si="8"/>
        <v>18</v>
      </c>
    </row>
    <row r="91" spans="1:14" x14ac:dyDescent="0.25">
      <c r="L91" s="1" t="str">
        <f t="shared" si="6"/>
        <v>0.0.0.0</v>
      </c>
      <c r="M91" s="3">
        <f t="shared" si="7"/>
        <v>49712.311296296291</v>
      </c>
      <c r="N91" s="4">
        <f t="shared" si="8"/>
        <v>18</v>
      </c>
    </row>
    <row r="92" spans="1:14" x14ac:dyDescent="0.25">
      <c r="L92" s="1" t="str">
        <f t="shared" si="6"/>
        <v>0.0.0.0</v>
      </c>
      <c r="M92" s="3">
        <f t="shared" si="7"/>
        <v>49712.311296296291</v>
      </c>
      <c r="N92" s="4">
        <f t="shared" si="8"/>
        <v>18</v>
      </c>
    </row>
    <row r="93" spans="1:14" x14ac:dyDescent="0.25">
      <c r="L93" s="1" t="str">
        <f t="shared" si="6"/>
        <v>0.0.0.0</v>
      </c>
      <c r="M93" s="3">
        <f t="shared" si="7"/>
        <v>49712.311296296291</v>
      </c>
      <c r="N93" s="4">
        <f t="shared" si="8"/>
        <v>18</v>
      </c>
    </row>
    <row r="94" spans="1:14" x14ac:dyDescent="0.25">
      <c r="L94" s="1" t="str">
        <f t="shared" si="6"/>
        <v>0.0.0.0</v>
      </c>
      <c r="M94" s="3">
        <f t="shared" si="7"/>
        <v>49712.311296296291</v>
      </c>
      <c r="N94" s="4">
        <f t="shared" si="8"/>
        <v>18</v>
      </c>
    </row>
    <row r="95" spans="1:14" x14ac:dyDescent="0.25">
      <c r="L95" s="1" t="str">
        <f t="shared" si="6"/>
        <v>0.0.0.0</v>
      </c>
      <c r="M95" s="3">
        <f t="shared" si="7"/>
        <v>49712.311296296291</v>
      </c>
      <c r="N95" s="4">
        <f t="shared" si="8"/>
        <v>18</v>
      </c>
    </row>
    <row r="96" spans="1:14" x14ac:dyDescent="0.25">
      <c r="L96" s="1" t="str">
        <f t="shared" si="6"/>
        <v>0.0.0.0</v>
      </c>
      <c r="M96" s="3">
        <f t="shared" si="7"/>
        <v>49712.311296296291</v>
      </c>
      <c r="N96" s="4">
        <f t="shared" si="8"/>
        <v>18</v>
      </c>
    </row>
    <row r="97" spans="12:14" x14ac:dyDescent="0.25">
      <c r="L97" s="1" t="str">
        <f t="shared" si="6"/>
        <v>0.0.0.0</v>
      </c>
      <c r="M97" s="3">
        <f t="shared" si="7"/>
        <v>49712.311296296291</v>
      </c>
      <c r="N97" s="4">
        <f t="shared" si="8"/>
        <v>18</v>
      </c>
    </row>
    <row r="98" spans="12:14" x14ac:dyDescent="0.25">
      <c r="L98" s="1" t="str">
        <f t="shared" si="6"/>
        <v>0.0.0.0</v>
      </c>
      <c r="M98" s="3">
        <f t="shared" si="7"/>
        <v>49712.311296296291</v>
      </c>
      <c r="N98" s="4">
        <f t="shared" si="8"/>
        <v>18</v>
      </c>
    </row>
    <row r="99" spans="12:14" x14ac:dyDescent="0.25">
      <c r="L99" s="1" t="str">
        <f t="shared" si="6"/>
        <v>0.0.0.0</v>
      </c>
      <c r="M99" s="3">
        <f t="shared" si="7"/>
        <v>49712.311296296291</v>
      </c>
      <c r="N99" s="4">
        <f t="shared" si="8"/>
        <v>18</v>
      </c>
    </row>
    <row r="100" spans="12:14" x14ac:dyDescent="0.25">
      <c r="L100" s="1" t="str">
        <f t="shared" si="6"/>
        <v>0.0.0.0</v>
      </c>
      <c r="M100" s="3">
        <f t="shared" si="7"/>
        <v>49712.311296296291</v>
      </c>
      <c r="N100" s="4">
        <f t="shared" si="8"/>
        <v>18</v>
      </c>
    </row>
    <row r="101" spans="12:14" x14ac:dyDescent="0.25">
      <c r="L101" s="1" t="str">
        <f t="shared" si="6"/>
        <v>0.0.0.0</v>
      </c>
      <c r="M101" s="3">
        <f t="shared" si="7"/>
        <v>49712.311296296291</v>
      </c>
      <c r="N101" s="4">
        <f t="shared" si="8"/>
        <v>18</v>
      </c>
    </row>
    <row r="102" spans="12:14" x14ac:dyDescent="0.25">
      <c r="L102" s="1" t="str">
        <f t="shared" si="6"/>
        <v>0.0.0.0</v>
      </c>
      <c r="M102" s="3">
        <f t="shared" si="7"/>
        <v>49712.311296296291</v>
      </c>
      <c r="N102" s="4">
        <f t="shared" si="8"/>
        <v>18</v>
      </c>
    </row>
    <row r="103" spans="12:14" x14ac:dyDescent="0.25">
      <c r="L103" s="1" t="str">
        <f t="shared" si="6"/>
        <v>0.0.0.0</v>
      </c>
      <c r="M103" s="3">
        <f t="shared" si="7"/>
        <v>49712.311296296291</v>
      </c>
      <c r="N103" s="4">
        <f t="shared" si="8"/>
        <v>18</v>
      </c>
    </row>
    <row r="104" spans="12:14" x14ac:dyDescent="0.25">
      <c r="L104" s="1" t="str">
        <f t="shared" si="6"/>
        <v>0.0.0.0</v>
      </c>
      <c r="M104" s="3">
        <f t="shared" si="7"/>
        <v>49712.311296296291</v>
      </c>
      <c r="N104" s="4">
        <f t="shared" si="8"/>
        <v>18</v>
      </c>
    </row>
    <row r="105" spans="12:14" x14ac:dyDescent="0.25">
      <c r="L105" s="1" t="str">
        <f t="shared" si="6"/>
        <v>0.0.0.0</v>
      </c>
      <c r="M105" s="3">
        <f t="shared" si="7"/>
        <v>49712.311296296291</v>
      </c>
      <c r="N105" s="4">
        <f t="shared" si="8"/>
        <v>18</v>
      </c>
    </row>
    <row r="106" spans="12:14" x14ac:dyDescent="0.25">
      <c r="L106" s="1" t="str">
        <f t="shared" si="6"/>
        <v>0.0.0.0</v>
      </c>
      <c r="M106" s="3">
        <f t="shared" si="7"/>
        <v>49712.311296296291</v>
      </c>
      <c r="N106" s="4">
        <f t="shared" si="8"/>
        <v>18</v>
      </c>
    </row>
    <row r="107" spans="12:14" x14ac:dyDescent="0.25">
      <c r="L107" s="1" t="str">
        <f t="shared" si="6"/>
        <v>0.0.0.0</v>
      </c>
      <c r="M107" s="3">
        <f t="shared" si="7"/>
        <v>49712.311296296291</v>
      </c>
      <c r="N107" s="4">
        <f t="shared" si="8"/>
        <v>18</v>
      </c>
    </row>
    <row r="108" spans="12:14" x14ac:dyDescent="0.25">
      <c r="L108" s="1" t="str">
        <f t="shared" si="6"/>
        <v>0.0.0.0</v>
      </c>
      <c r="M108" s="3">
        <f t="shared" si="7"/>
        <v>49712.311296296291</v>
      </c>
      <c r="N108" s="4">
        <f t="shared" si="8"/>
        <v>18</v>
      </c>
    </row>
    <row r="109" spans="12:14" x14ac:dyDescent="0.25">
      <c r="L109" s="1" t="str">
        <f t="shared" si="6"/>
        <v>0.0.0.0</v>
      </c>
      <c r="M109" s="3">
        <f t="shared" si="7"/>
        <v>49712.311296296291</v>
      </c>
      <c r="N109" s="4">
        <f t="shared" si="8"/>
        <v>18</v>
      </c>
    </row>
    <row r="110" spans="12:14" x14ac:dyDescent="0.25">
      <c r="L110" s="1" t="str">
        <f t="shared" si="6"/>
        <v>0.0.0.0</v>
      </c>
      <c r="M110" s="3">
        <f t="shared" si="7"/>
        <v>49712.311296296291</v>
      </c>
      <c r="N110" s="4">
        <f t="shared" si="8"/>
        <v>18</v>
      </c>
    </row>
    <row r="111" spans="12:14" x14ac:dyDescent="0.25">
      <c r="L111" s="1" t="str">
        <f t="shared" si="6"/>
        <v>0.0.0.0</v>
      </c>
      <c r="M111" s="3">
        <f t="shared" si="7"/>
        <v>49712.311296296291</v>
      </c>
      <c r="N111" s="4">
        <f t="shared" si="8"/>
        <v>18</v>
      </c>
    </row>
    <row r="112" spans="12:14" x14ac:dyDescent="0.25">
      <c r="L112" s="1" t="str">
        <f t="shared" si="6"/>
        <v>0.0.0.0</v>
      </c>
      <c r="M112" s="3">
        <f t="shared" si="7"/>
        <v>49712.311296296291</v>
      </c>
      <c r="N112" s="4">
        <f t="shared" si="8"/>
        <v>18</v>
      </c>
    </row>
    <row r="113" spans="12:14" x14ac:dyDescent="0.25">
      <c r="L113" s="1" t="str">
        <f t="shared" si="6"/>
        <v>0.0.0.0</v>
      </c>
      <c r="M113" s="3">
        <f t="shared" si="7"/>
        <v>49712.311296296291</v>
      </c>
      <c r="N113" s="4">
        <f t="shared" si="8"/>
        <v>18</v>
      </c>
    </row>
    <row r="114" spans="12:14" x14ac:dyDescent="0.25">
      <c r="L114" s="1" t="str">
        <f t="shared" si="6"/>
        <v>0.0.0.0</v>
      </c>
      <c r="M114" s="3">
        <f t="shared" si="7"/>
        <v>49712.311296296291</v>
      </c>
      <c r="N114" s="4">
        <f t="shared" si="8"/>
        <v>18</v>
      </c>
    </row>
    <row r="115" spans="12:14" x14ac:dyDescent="0.25">
      <c r="L115" s="1" t="str">
        <f t="shared" si="6"/>
        <v>0.0.0.0</v>
      </c>
      <c r="M115" s="3">
        <f t="shared" si="7"/>
        <v>49712.311296296291</v>
      </c>
      <c r="N115" s="4">
        <f t="shared" si="8"/>
        <v>18</v>
      </c>
    </row>
    <row r="116" spans="12:14" x14ac:dyDescent="0.25">
      <c r="L116" s="1" t="str">
        <f t="shared" si="6"/>
        <v>0.0.0.0</v>
      </c>
      <c r="M116" s="3">
        <f t="shared" si="7"/>
        <v>49712.311296296291</v>
      </c>
      <c r="N116" s="4">
        <f t="shared" si="8"/>
        <v>18</v>
      </c>
    </row>
    <row r="117" spans="12:14" x14ac:dyDescent="0.25">
      <c r="L117" s="1" t="str">
        <f t="shared" si="6"/>
        <v>0.0.0.0</v>
      </c>
      <c r="M117" s="3">
        <f t="shared" si="7"/>
        <v>49712.311296296291</v>
      </c>
      <c r="N117" s="4">
        <f t="shared" si="8"/>
        <v>18</v>
      </c>
    </row>
    <row r="118" spans="12:14" x14ac:dyDescent="0.25">
      <c r="L118" s="1" t="str">
        <f t="shared" si="6"/>
        <v>0.0.0.0</v>
      </c>
      <c r="M118" s="3">
        <f t="shared" si="7"/>
        <v>49712.311296296291</v>
      </c>
      <c r="N118" s="4">
        <f t="shared" si="8"/>
        <v>18</v>
      </c>
    </row>
    <row r="119" spans="12:14" x14ac:dyDescent="0.25">
      <c r="L119" s="1" t="str">
        <f t="shared" si="6"/>
        <v>0.0.0.0</v>
      </c>
      <c r="M119" s="3">
        <f t="shared" si="7"/>
        <v>49712.311296296291</v>
      </c>
      <c r="N119" s="4">
        <f t="shared" si="8"/>
        <v>18</v>
      </c>
    </row>
    <row r="120" spans="12:14" x14ac:dyDescent="0.25">
      <c r="L120" s="1" t="str">
        <f t="shared" si="6"/>
        <v>0.0.0.0</v>
      </c>
      <c r="M120" s="3">
        <f t="shared" si="7"/>
        <v>49712.311296296291</v>
      </c>
      <c r="N120" s="4">
        <f t="shared" si="8"/>
        <v>18</v>
      </c>
    </row>
    <row r="121" spans="12:14" x14ac:dyDescent="0.25">
      <c r="L121" s="1" t="str">
        <f t="shared" si="6"/>
        <v>0.0.0.0</v>
      </c>
      <c r="M121" s="3">
        <f t="shared" si="7"/>
        <v>49712.311296296291</v>
      </c>
      <c r="N121" s="4">
        <f t="shared" si="8"/>
        <v>18</v>
      </c>
    </row>
    <row r="122" spans="12:14" x14ac:dyDescent="0.25">
      <c r="L122" s="1" t="str">
        <f t="shared" si="6"/>
        <v>0.0.0.0</v>
      </c>
      <c r="M122" s="3">
        <f t="shared" si="7"/>
        <v>49712.311296296291</v>
      </c>
      <c r="N122" s="4">
        <f t="shared" si="8"/>
        <v>18</v>
      </c>
    </row>
    <row r="123" spans="12:14" x14ac:dyDescent="0.25">
      <c r="L123" s="1" t="str">
        <f t="shared" ref="L123:L186" si="9">ip_to_string(F123)</f>
        <v>0.0.0.0</v>
      </c>
      <c r="M123" s="3">
        <f t="shared" ref="M123:M186" si="10">(2^32+J123)*TIME(0,0,1)+2+TIME($N$3,0,0)</f>
        <v>49712.311296296291</v>
      </c>
      <c r="N123" s="4">
        <f t="shared" ref="N123:N186" si="11" xml:space="preserve"> 4 + 1 + 2 + 1 + LEN(B123)+1 + 4 + IF(OR(D123=1,D123=4,D123=6),LEN(E123)+1,0) + IF(OR(D123=2,D123=3,D123=5),4,0) + 5</f>
        <v>18</v>
      </c>
    </row>
    <row r="124" spans="12:14" x14ac:dyDescent="0.25">
      <c r="L124" s="1" t="str">
        <f t="shared" si="9"/>
        <v>0.0.0.0</v>
      </c>
      <c r="M124" s="3">
        <f t="shared" si="10"/>
        <v>49712.311296296291</v>
      </c>
      <c r="N124" s="4">
        <f t="shared" si="11"/>
        <v>18</v>
      </c>
    </row>
    <row r="125" spans="12:14" x14ac:dyDescent="0.25">
      <c r="L125" s="1" t="str">
        <f t="shared" si="9"/>
        <v>0.0.0.0</v>
      </c>
      <c r="M125" s="3">
        <f t="shared" si="10"/>
        <v>49712.311296296291</v>
      </c>
      <c r="N125" s="4">
        <f t="shared" si="11"/>
        <v>18</v>
      </c>
    </row>
    <row r="126" spans="12:14" x14ac:dyDescent="0.25">
      <c r="L126" s="1" t="str">
        <f t="shared" si="9"/>
        <v>0.0.0.0</v>
      </c>
      <c r="M126" s="3">
        <f t="shared" si="10"/>
        <v>49712.311296296291</v>
      </c>
      <c r="N126" s="4">
        <f t="shared" si="11"/>
        <v>18</v>
      </c>
    </row>
    <row r="127" spans="12:14" x14ac:dyDescent="0.25">
      <c r="L127" s="1" t="str">
        <f t="shared" si="9"/>
        <v>0.0.0.0</v>
      </c>
      <c r="M127" s="3">
        <f t="shared" si="10"/>
        <v>49712.311296296291</v>
      </c>
      <c r="N127" s="4">
        <f t="shared" si="11"/>
        <v>18</v>
      </c>
    </row>
    <row r="128" spans="12:14" x14ac:dyDescent="0.25">
      <c r="L128" s="1" t="str">
        <f t="shared" si="9"/>
        <v>0.0.0.0</v>
      </c>
      <c r="M128" s="3">
        <f t="shared" si="10"/>
        <v>49712.311296296291</v>
      </c>
      <c r="N128" s="4">
        <f t="shared" si="11"/>
        <v>18</v>
      </c>
    </row>
    <row r="129" spans="12:14" x14ac:dyDescent="0.25">
      <c r="L129" s="1" t="str">
        <f t="shared" si="9"/>
        <v>0.0.0.0</v>
      </c>
      <c r="M129" s="3">
        <f t="shared" si="10"/>
        <v>49712.311296296291</v>
      </c>
      <c r="N129" s="4">
        <f t="shared" si="11"/>
        <v>18</v>
      </c>
    </row>
    <row r="130" spans="12:14" x14ac:dyDescent="0.25">
      <c r="L130" s="1" t="str">
        <f t="shared" si="9"/>
        <v>0.0.0.0</v>
      </c>
      <c r="M130" s="3">
        <f t="shared" si="10"/>
        <v>49712.311296296291</v>
      </c>
      <c r="N130" s="4">
        <f t="shared" si="11"/>
        <v>18</v>
      </c>
    </row>
    <row r="131" spans="12:14" x14ac:dyDescent="0.25">
      <c r="L131" s="1" t="str">
        <f t="shared" si="9"/>
        <v>0.0.0.0</v>
      </c>
      <c r="M131" s="3">
        <f t="shared" si="10"/>
        <v>49712.311296296291</v>
      </c>
      <c r="N131" s="4">
        <f t="shared" si="11"/>
        <v>18</v>
      </c>
    </row>
    <row r="132" spans="12:14" x14ac:dyDescent="0.25">
      <c r="L132" s="1" t="str">
        <f t="shared" si="9"/>
        <v>0.0.0.0</v>
      </c>
      <c r="M132" s="3">
        <f t="shared" si="10"/>
        <v>49712.311296296291</v>
      </c>
      <c r="N132" s="4">
        <f t="shared" si="11"/>
        <v>18</v>
      </c>
    </row>
    <row r="133" spans="12:14" x14ac:dyDescent="0.25">
      <c r="L133" s="1" t="str">
        <f t="shared" si="9"/>
        <v>0.0.0.0</v>
      </c>
      <c r="M133" s="3">
        <f t="shared" si="10"/>
        <v>49712.311296296291</v>
      </c>
      <c r="N133" s="4">
        <f t="shared" si="11"/>
        <v>18</v>
      </c>
    </row>
    <row r="134" spans="12:14" x14ac:dyDescent="0.25">
      <c r="L134" s="1" t="str">
        <f t="shared" si="9"/>
        <v>0.0.0.0</v>
      </c>
      <c r="M134" s="3">
        <f t="shared" si="10"/>
        <v>49712.311296296291</v>
      </c>
      <c r="N134" s="4">
        <f t="shared" si="11"/>
        <v>18</v>
      </c>
    </row>
    <row r="135" spans="12:14" x14ac:dyDescent="0.25">
      <c r="L135" s="1" t="str">
        <f t="shared" si="9"/>
        <v>0.0.0.0</v>
      </c>
      <c r="M135" s="3">
        <f t="shared" si="10"/>
        <v>49712.311296296291</v>
      </c>
      <c r="N135" s="4">
        <f t="shared" si="11"/>
        <v>18</v>
      </c>
    </row>
    <row r="136" spans="12:14" x14ac:dyDescent="0.25">
      <c r="L136" s="1" t="str">
        <f t="shared" si="9"/>
        <v>0.0.0.0</v>
      </c>
      <c r="M136" s="3">
        <f t="shared" si="10"/>
        <v>49712.311296296291</v>
      </c>
      <c r="N136" s="4">
        <f t="shared" si="11"/>
        <v>18</v>
      </c>
    </row>
    <row r="137" spans="12:14" x14ac:dyDescent="0.25">
      <c r="L137" s="1" t="str">
        <f t="shared" si="9"/>
        <v>0.0.0.0</v>
      </c>
      <c r="M137" s="3">
        <f t="shared" si="10"/>
        <v>49712.311296296291</v>
      </c>
      <c r="N137" s="4">
        <f t="shared" si="11"/>
        <v>18</v>
      </c>
    </row>
    <row r="138" spans="12:14" x14ac:dyDescent="0.25">
      <c r="L138" s="1" t="str">
        <f t="shared" si="9"/>
        <v>0.0.0.0</v>
      </c>
      <c r="M138" s="3">
        <f t="shared" si="10"/>
        <v>49712.311296296291</v>
      </c>
      <c r="N138" s="4">
        <f t="shared" si="11"/>
        <v>18</v>
      </c>
    </row>
    <row r="139" spans="12:14" x14ac:dyDescent="0.25">
      <c r="L139" s="1" t="str">
        <f t="shared" si="9"/>
        <v>0.0.0.0</v>
      </c>
      <c r="M139" s="3">
        <f t="shared" si="10"/>
        <v>49712.311296296291</v>
      </c>
      <c r="N139" s="4">
        <f t="shared" si="11"/>
        <v>18</v>
      </c>
    </row>
    <row r="140" spans="12:14" x14ac:dyDescent="0.25">
      <c r="L140" s="1" t="str">
        <f t="shared" si="9"/>
        <v>0.0.0.0</v>
      </c>
      <c r="M140" s="3">
        <f t="shared" si="10"/>
        <v>49712.311296296291</v>
      </c>
      <c r="N140" s="4">
        <f t="shared" si="11"/>
        <v>18</v>
      </c>
    </row>
    <row r="141" spans="12:14" x14ac:dyDescent="0.25">
      <c r="L141" s="1" t="str">
        <f t="shared" si="9"/>
        <v>0.0.0.0</v>
      </c>
      <c r="M141" s="3">
        <f t="shared" si="10"/>
        <v>49712.311296296291</v>
      </c>
      <c r="N141" s="4">
        <f t="shared" si="11"/>
        <v>18</v>
      </c>
    </row>
    <row r="142" spans="12:14" x14ac:dyDescent="0.25">
      <c r="L142" s="1" t="str">
        <f t="shared" si="9"/>
        <v>0.0.0.0</v>
      </c>
      <c r="M142" s="3">
        <f t="shared" si="10"/>
        <v>49712.311296296291</v>
      </c>
      <c r="N142" s="4">
        <f t="shared" si="11"/>
        <v>18</v>
      </c>
    </row>
    <row r="143" spans="12:14" x14ac:dyDescent="0.25">
      <c r="L143" s="1" t="str">
        <f t="shared" si="9"/>
        <v>0.0.0.0</v>
      </c>
      <c r="M143" s="3">
        <f t="shared" si="10"/>
        <v>49712.311296296291</v>
      </c>
      <c r="N143" s="4">
        <f t="shared" si="11"/>
        <v>18</v>
      </c>
    </row>
    <row r="144" spans="12:14" x14ac:dyDescent="0.25">
      <c r="L144" s="1" t="str">
        <f t="shared" si="9"/>
        <v>0.0.0.0</v>
      </c>
      <c r="M144" s="3">
        <f t="shared" si="10"/>
        <v>49712.311296296291</v>
      </c>
      <c r="N144" s="4">
        <f t="shared" si="11"/>
        <v>18</v>
      </c>
    </row>
    <row r="145" spans="12:14" x14ac:dyDescent="0.25">
      <c r="L145" s="1" t="str">
        <f t="shared" si="9"/>
        <v>0.0.0.0</v>
      </c>
      <c r="M145" s="3">
        <f t="shared" si="10"/>
        <v>49712.311296296291</v>
      </c>
      <c r="N145" s="4">
        <f t="shared" si="11"/>
        <v>18</v>
      </c>
    </row>
    <row r="146" spans="12:14" x14ac:dyDescent="0.25">
      <c r="L146" s="1" t="str">
        <f t="shared" si="9"/>
        <v>0.0.0.0</v>
      </c>
      <c r="M146" s="3">
        <f t="shared" si="10"/>
        <v>49712.311296296291</v>
      </c>
      <c r="N146" s="4">
        <f t="shared" si="11"/>
        <v>18</v>
      </c>
    </row>
    <row r="147" spans="12:14" x14ac:dyDescent="0.25">
      <c r="L147" s="1" t="str">
        <f t="shared" si="9"/>
        <v>0.0.0.0</v>
      </c>
      <c r="M147" s="3">
        <f t="shared" si="10"/>
        <v>49712.311296296291</v>
      </c>
      <c r="N147" s="4">
        <f t="shared" si="11"/>
        <v>18</v>
      </c>
    </row>
    <row r="148" spans="12:14" x14ac:dyDescent="0.25">
      <c r="L148" s="1" t="str">
        <f t="shared" si="9"/>
        <v>0.0.0.0</v>
      </c>
      <c r="M148" s="3">
        <f t="shared" si="10"/>
        <v>49712.311296296291</v>
      </c>
      <c r="N148" s="4">
        <f t="shared" si="11"/>
        <v>18</v>
      </c>
    </row>
    <row r="149" spans="12:14" x14ac:dyDescent="0.25">
      <c r="L149" s="1" t="str">
        <f t="shared" si="9"/>
        <v>0.0.0.0</v>
      </c>
      <c r="M149" s="3">
        <f t="shared" si="10"/>
        <v>49712.311296296291</v>
      </c>
      <c r="N149" s="4">
        <f t="shared" si="11"/>
        <v>18</v>
      </c>
    </row>
    <row r="150" spans="12:14" x14ac:dyDescent="0.25">
      <c r="L150" s="1" t="str">
        <f t="shared" si="9"/>
        <v>0.0.0.0</v>
      </c>
      <c r="M150" s="3">
        <f t="shared" si="10"/>
        <v>49712.311296296291</v>
      </c>
      <c r="N150" s="4">
        <f t="shared" si="11"/>
        <v>18</v>
      </c>
    </row>
    <row r="151" spans="12:14" x14ac:dyDescent="0.25">
      <c r="L151" s="1" t="str">
        <f t="shared" si="9"/>
        <v>0.0.0.0</v>
      </c>
      <c r="M151" s="3">
        <f t="shared" si="10"/>
        <v>49712.311296296291</v>
      </c>
      <c r="N151" s="4">
        <f t="shared" si="11"/>
        <v>18</v>
      </c>
    </row>
    <row r="152" spans="12:14" x14ac:dyDescent="0.25">
      <c r="L152" s="1" t="str">
        <f t="shared" si="9"/>
        <v>0.0.0.0</v>
      </c>
      <c r="M152" s="3">
        <f t="shared" si="10"/>
        <v>49712.311296296291</v>
      </c>
      <c r="N152" s="4">
        <f t="shared" si="11"/>
        <v>18</v>
      </c>
    </row>
    <row r="153" spans="12:14" x14ac:dyDescent="0.25">
      <c r="L153" s="1" t="str">
        <f t="shared" si="9"/>
        <v>0.0.0.0</v>
      </c>
      <c r="M153" s="3">
        <f t="shared" si="10"/>
        <v>49712.311296296291</v>
      </c>
      <c r="N153" s="4">
        <f t="shared" si="11"/>
        <v>18</v>
      </c>
    </row>
    <row r="154" spans="12:14" x14ac:dyDescent="0.25">
      <c r="L154" s="1" t="str">
        <f t="shared" si="9"/>
        <v>0.0.0.0</v>
      </c>
      <c r="M154" s="3">
        <f t="shared" si="10"/>
        <v>49712.311296296291</v>
      </c>
      <c r="N154" s="4">
        <f t="shared" si="11"/>
        <v>18</v>
      </c>
    </row>
    <row r="155" spans="12:14" x14ac:dyDescent="0.25">
      <c r="L155" s="1" t="str">
        <f t="shared" si="9"/>
        <v>0.0.0.0</v>
      </c>
      <c r="M155" s="3">
        <f t="shared" si="10"/>
        <v>49712.311296296291</v>
      </c>
      <c r="N155" s="4">
        <f t="shared" si="11"/>
        <v>18</v>
      </c>
    </row>
    <row r="156" spans="12:14" x14ac:dyDescent="0.25">
      <c r="L156" s="1" t="str">
        <f t="shared" si="9"/>
        <v>0.0.0.0</v>
      </c>
      <c r="M156" s="3">
        <f t="shared" si="10"/>
        <v>49712.311296296291</v>
      </c>
      <c r="N156" s="4">
        <f t="shared" si="11"/>
        <v>18</v>
      </c>
    </row>
    <row r="157" spans="12:14" x14ac:dyDescent="0.25">
      <c r="L157" s="1" t="str">
        <f t="shared" si="9"/>
        <v>0.0.0.0</v>
      </c>
      <c r="M157" s="3">
        <f t="shared" si="10"/>
        <v>49712.311296296291</v>
      </c>
      <c r="N157" s="4">
        <f t="shared" si="11"/>
        <v>18</v>
      </c>
    </row>
    <row r="158" spans="12:14" x14ac:dyDescent="0.25">
      <c r="L158" s="1" t="str">
        <f t="shared" si="9"/>
        <v>0.0.0.0</v>
      </c>
      <c r="M158" s="3">
        <f t="shared" si="10"/>
        <v>49712.311296296291</v>
      </c>
      <c r="N158" s="4">
        <f t="shared" si="11"/>
        <v>18</v>
      </c>
    </row>
    <row r="159" spans="12:14" x14ac:dyDescent="0.25">
      <c r="L159" s="1" t="str">
        <f t="shared" si="9"/>
        <v>0.0.0.0</v>
      </c>
      <c r="M159" s="3">
        <f t="shared" si="10"/>
        <v>49712.311296296291</v>
      </c>
      <c r="N159" s="4">
        <f t="shared" si="11"/>
        <v>18</v>
      </c>
    </row>
    <row r="160" spans="12:14" x14ac:dyDescent="0.25">
      <c r="L160" s="1" t="str">
        <f t="shared" si="9"/>
        <v>0.0.0.0</v>
      </c>
      <c r="M160" s="3">
        <f t="shared" si="10"/>
        <v>49712.311296296291</v>
      </c>
      <c r="N160" s="4">
        <f t="shared" si="11"/>
        <v>18</v>
      </c>
    </row>
    <row r="161" spans="12:14" x14ac:dyDescent="0.25">
      <c r="L161" s="1" t="str">
        <f t="shared" si="9"/>
        <v>0.0.0.0</v>
      </c>
      <c r="M161" s="3">
        <f t="shared" si="10"/>
        <v>49712.311296296291</v>
      </c>
      <c r="N161" s="4">
        <f t="shared" si="11"/>
        <v>18</v>
      </c>
    </row>
    <row r="162" spans="12:14" x14ac:dyDescent="0.25">
      <c r="L162" s="1" t="str">
        <f t="shared" si="9"/>
        <v>0.0.0.0</v>
      </c>
      <c r="M162" s="3">
        <f t="shared" si="10"/>
        <v>49712.311296296291</v>
      </c>
      <c r="N162" s="4">
        <f t="shared" si="11"/>
        <v>18</v>
      </c>
    </row>
    <row r="163" spans="12:14" x14ac:dyDescent="0.25">
      <c r="L163" s="1" t="str">
        <f t="shared" si="9"/>
        <v>0.0.0.0</v>
      </c>
      <c r="M163" s="3">
        <f t="shared" si="10"/>
        <v>49712.311296296291</v>
      </c>
      <c r="N163" s="4">
        <f t="shared" si="11"/>
        <v>18</v>
      </c>
    </row>
    <row r="164" spans="12:14" x14ac:dyDescent="0.25">
      <c r="L164" s="1" t="str">
        <f t="shared" si="9"/>
        <v>0.0.0.0</v>
      </c>
      <c r="M164" s="3">
        <f t="shared" si="10"/>
        <v>49712.311296296291</v>
      </c>
      <c r="N164" s="4">
        <f t="shared" si="11"/>
        <v>18</v>
      </c>
    </row>
    <row r="165" spans="12:14" x14ac:dyDescent="0.25">
      <c r="L165" s="1" t="str">
        <f t="shared" si="9"/>
        <v>0.0.0.0</v>
      </c>
      <c r="M165" s="3">
        <f t="shared" si="10"/>
        <v>49712.311296296291</v>
      </c>
      <c r="N165" s="4">
        <f t="shared" si="11"/>
        <v>18</v>
      </c>
    </row>
    <row r="166" spans="12:14" x14ac:dyDescent="0.25">
      <c r="L166" s="1" t="str">
        <f t="shared" si="9"/>
        <v>0.0.0.0</v>
      </c>
      <c r="M166" s="3">
        <f t="shared" si="10"/>
        <v>49712.311296296291</v>
      </c>
      <c r="N166" s="4">
        <f t="shared" si="11"/>
        <v>18</v>
      </c>
    </row>
    <row r="167" spans="12:14" x14ac:dyDescent="0.25">
      <c r="L167" s="1" t="str">
        <f t="shared" si="9"/>
        <v>0.0.0.0</v>
      </c>
      <c r="M167" s="3">
        <f t="shared" si="10"/>
        <v>49712.311296296291</v>
      </c>
      <c r="N167" s="4">
        <f t="shared" si="11"/>
        <v>18</v>
      </c>
    </row>
    <row r="168" spans="12:14" x14ac:dyDescent="0.25">
      <c r="L168" s="1" t="str">
        <f t="shared" si="9"/>
        <v>0.0.0.0</v>
      </c>
      <c r="M168" s="3">
        <f t="shared" si="10"/>
        <v>49712.311296296291</v>
      </c>
      <c r="N168" s="4">
        <f t="shared" si="11"/>
        <v>18</v>
      </c>
    </row>
    <row r="169" spans="12:14" x14ac:dyDescent="0.25">
      <c r="L169" s="1" t="str">
        <f t="shared" si="9"/>
        <v>0.0.0.0</v>
      </c>
      <c r="M169" s="3">
        <f t="shared" si="10"/>
        <v>49712.311296296291</v>
      </c>
      <c r="N169" s="4">
        <f t="shared" si="11"/>
        <v>18</v>
      </c>
    </row>
    <row r="170" spans="12:14" x14ac:dyDescent="0.25">
      <c r="L170" s="1" t="str">
        <f t="shared" si="9"/>
        <v>0.0.0.0</v>
      </c>
      <c r="M170" s="3">
        <f t="shared" si="10"/>
        <v>49712.311296296291</v>
      </c>
      <c r="N170" s="4">
        <f t="shared" si="11"/>
        <v>18</v>
      </c>
    </row>
    <row r="171" spans="12:14" x14ac:dyDescent="0.25">
      <c r="L171" s="1" t="str">
        <f t="shared" si="9"/>
        <v>0.0.0.0</v>
      </c>
      <c r="M171" s="3">
        <f t="shared" si="10"/>
        <v>49712.311296296291</v>
      </c>
      <c r="N171" s="4">
        <f t="shared" si="11"/>
        <v>18</v>
      </c>
    </row>
    <row r="172" spans="12:14" x14ac:dyDescent="0.25">
      <c r="L172" s="1" t="str">
        <f t="shared" si="9"/>
        <v>0.0.0.0</v>
      </c>
      <c r="M172" s="3">
        <f t="shared" si="10"/>
        <v>49712.311296296291</v>
      </c>
      <c r="N172" s="4">
        <f t="shared" si="11"/>
        <v>18</v>
      </c>
    </row>
    <row r="173" spans="12:14" x14ac:dyDescent="0.25">
      <c r="L173" s="1" t="str">
        <f t="shared" si="9"/>
        <v>0.0.0.0</v>
      </c>
      <c r="M173" s="3">
        <f t="shared" si="10"/>
        <v>49712.311296296291</v>
      </c>
      <c r="N173" s="4">
        <f t="shared" si="11"/>
        <v>18</v>
      </c>
    </row>
    <row r="174" spans="12:14" x14ac:dyDescent="0.25">
      <c r="L174" s="1" t="str">
        <f t="shared" si="9"/>
        <v>0.0.0.0</v>
      </c>
      <c r="M174" s="3">
        <f t="shared" si="10"/>
        <v>49712.311296296291</v>
      </c>
      <c r="N174" s="4">
        <f t="shared" si="11"/>
        <v>18</v>
      </c>
    </row>
    <row r="175" spans="12:14" x14ac:dyDescent="0.25">
      <c r="L175" s="1" t="str">
        <f t="shared" si="9"/>
        <v>0.0.0.0</v>
      </c>
      <c r="M175" s="3">
        <f t="shared" si="10"/>
        <v>49712.311296296291</v>
      </c>
      <c r="N175" s="4">
        <f t="shared" si="11"/>
        <v>18</v>
      </c>
    </row>
    <row r="176" spans="12:14" x14ac:dyDescent="0.25">
      <c r="L176" s="1" t="str">
        <f t="shared" si="9"/>
        <v>0.0.0.0</v>
      </c>
      <c r="M176" s="3">
        <f t="shared" si="10"/>
        <v>49712.311296296291</v>
      </c>
      <c r="N176" s="4">
        <f t="shared" si="11"/>
        <v>18</v>
      </c>
    </row>
    <row r="177" spans="12:14" x14ac:dyDescent="0.25">
      <c r="L177" s="1" t="str">
        <f t="shared" si="9"/>
        <v>0.0.0.0</v>
      </c>
      <c r="M177" s="3">
        <f t="shared" si="10"/>
        <v>49712.311296296291</v>
      </c>
      <c r="N177" s="4">
        <f t="shared" si="11"/>
        <v>18</v>
      </c>
    </row>
    <row r="178" spans="12:14" x14ac:dyDescent="0.25">
      <c r="L178" s="1" t="str">
        <f t="shared" si="9"/>
        <v>0.0.0.0</v>
      </c>
      <c r="M178" s="3">
        <f t="shared" si="10"/>
        <v>49712.311296296291</v>
      </c>
      <c r="N178" s="4">
        <f t="shared" si="11"/>
        <v>18</v>
      </c>
    </row>
    <row r="179" spans="12:14" x14ac:dyDescent="0.25">
      <c r="L179" s="1" t="str">
        <f t="shared" si="9"/>
        <v>0.0.0.0</v>
      </c>
      <c r="M179" s="3">
        <f t="shared" si="10"/>
        <v>49712.311296296291</v>
      </c>
      <c r="N179" s="4">
        <f t="shared" si="11"/>
        <v>18</v>
      </c>
    </row>
    <row r="180" spans="12:14" x14ac:dyDescent="0.25">
      <c r="L180" s="1" t="str">
        <f t="shared" si="9"/>
        <v>0.0.0.0</v>
      </c>
      <c r="M180" s="3">
        <f t="shared" si="10"/>
        <v>49712.311296296291</v>
      </c>
      <c r="N180" s="4">
        <f t="shared" si="11"/>
        <v>18</v>
      </c>
    </row>
    <row r="181" spans="12:14" x14ac:dyDescent="0.25">
      <c r="L181" s="1" t="str">
        <f t="shared" si="9"/>
        <v>0.0.0.0</v>
      </c>
      <c r="M181" s="3">
        <f t="shared" si="10"/>
        <v>49712.311296296291</v>
      </c>
      <c r="N181" s="4">
        <f t="shared" si="11"/>
        <v>18</v>
      </c>
    </row>
    <row r="182" spans="12:14" x14ac:dyDescent="0.25">
      <c r="L182" s="1" t="str">
        <f t="shared" si="9"/>
        <v>0.0.0.0</v>
      </c>
      <c r="M182" s="3">
        <f t="shared" si="10"/>
        <v>49712.311296296291</v>
      </c>
      <c r="N182" s="4">
        <f t="shared" si="11"/>
        <v>18</v>
      </c>
    </row>
    <row r="183" spans="12:14" x14ac:dyDescent="0.25">
      <c r="L183" s="1" t="str">
        <f t="shared" si="9"/>
        <v>0.0.0.0</v>
      </c>
      <c r="M183" s="3">
        <f t="shared" si="10"/>
        <v>49712.311296296291</v>
      </c>
      <c r="N183" s="4">
        <f t="shared" si="11"/>
        <v>18</v>
      </c>
    </row>
    <row r="184" spans="12:14" x14ac:dyDescent="0.25">
      <c r="L184" s="1" t="str">
        <f t="shared" si="9"/>
        <v>0.0.0.0</v>
      </c>
      <c r="M184" s="3">
        <f t="shared" si="10"/>
        <v>49712.311296296291</v>
      </c>
      <c r="N184" s="4">
        <f t="shared" si="11"/>
        <v>18</v>
      </c>
    </row>
    <row r="185" spans="12:14" x14ac:dyDescent="0.25">
      <c r="L185" s="1" t="str">
        <f t="shared" si="9"/>
        <v>0.0.0.0</v>
      </c>
      <c r="M185" s="3">
        <f t="shared" si="10"/>
        <v>49712.311296296291</v>
      </c>
      <c r="N185" s="4">
        <f t="shared" si="11"/>
        <v>18</v>
      </c>
    </row>
    <row r="186" spans="12:14" x14ac:dyDescent="0.25">
      <c r="L186" s="1" t="str">
        <f t="shared" si="9"/>
        <v>0.0.0.0</v>
      </c>
      <c r="M186" s="3">
        <f t="shared" si="10"/>
        <v>49712.311296296291</v>
      </c>
      <c r="N186" s="4">
        <f t="shared" si="11"/>
        <v>18</v>
      </c>
    </row>
    <row r="187" spans="12:14" x14ac:dyDescent="0.25">
      <c r="L187" s="1" t="str">
        <f t="shared" ref="L187:L224" si="12">ip_to_string(F187)</f>
        <v>0.0.0.0</v>
      </c>
      <c r="M187" s="3">
        <f t="shared" ref="M187:M224" si="13">(2^32+J187)*TIME(0,0,1)+2+TIME($N$3,0,0)</f>
        <v>49712.311296296291</v>
      </c>
      <c r="N187" s="4">
        <f t="shared" ref="N187:N224" si="14" xml:space="preserve"> 4 + 1 + 2 + 1 + LEN(B187)+1 + 4 + IF(OR(D187=1,D187=4,D187=6),LEN(E187)+1,0) + IF(OR(D187=2,D187=3,D187=5),4,0) + 5</f>
        <v>18</v>
      </c>
    </row>
    <row r="188" spans="12:14" x14ac:dyDescent="0.25">
      <c r="L188" s="1" t="str">
        <f t="shared" si="12"/>
        <v>0.0.0.0</v>
      </c>
      <c r="M188" s="3">
        <f t="shared" si="13"/>
        <v>49712.311296296291</v>
      </c>
      <c r="N188" s="4">
        <f t="shared" si="14"/>
        <v>18</v>
      </c>
    </row>
    <row r="189" spans="12:14" x14ac:dyDescent="0.25">
      <c r="L189" s="1" t="str">
        <f t="shared" si="12"/>
        <v>0.0.0.0</v>
      </c>
      <c r="M189" s="3">
        <f t="shared" si="13"/>
        <v>49712.311296296291</v>
      </c>
      <c r="N189" s="4">
        <f t="shared" si="14"/>
        <v>18</v>
      </c>
    </row>
    <row r="190" spans="12:14" x14ac:dyDescent="0.25">
      <c r="L190" s="1" t="str">
        <f t="shared" si="12"/>
        <v>0.0.0.0</v>
      </c>
      <c r="M190" s="3">
        <f t="shared" si="13"/>
        <v>49712.311296296291</v>
      </c>
      <c r="N190" s="4">
        <f t="shared" si="14"/>
        <v>18</v>
      </c>
    </row>
    <row r="191" spans="12:14" x14ac:dyDescent="0.25">
      <c r="L191" s="1" t="str">
        <f t="shared" si="12"/>
        <v>0.0.0.0</v>
      </c>
      <c r="M191" s="3">
        <f t="shared" si="13"/>
        <v>49712.311296296291</v>
      </c>
      <c r="N191" s="4">
        <f t="shared" si="14"/>
        <v>18</v>
      </c>
    </row>
    <row r="192" spans="12:14" x14ac:dyDescent="0.25">
      <c r="L192" s="1" t="str">
        <f t="shared" si="12"/>
        <v>0.0.0.0</v>
      </c>
      <c r="M192" s="3">
        <f t="shared" si="13"/>
        <v>49712.311296296291</v>
      </c>
      <c r="N192" s="4">
        <f t="shared" si="14"/>
        <v>18</v>
      </c>
    </row>
    <row r="193" spans="12:14" x14ac:dyDescent="0.25">
      <c r="L193" s="1" t="str">
        <f t="shared" si="12"/>
        <v>0.0.0.0</v>
      </c>
      <c r="M193" s="3">
        <f t="shared" si="13"/>
        <v>49712.311296296291</v>
      </c>
      <c r="N193" s="4">
        <f t="shared" si="14"/>
        <v>18</v>
      </c>
    </row>
    <row r="194" spans="12:14" x14ac:dyDescent="0.25">
      <c r="L194" s="1" t="str">
        <f t="shared" si="12"/>
        <v>0.0.0.0</v>
      </c>
      <c r="M194" s="3">
        <f t="shared" si="13"/>
        <v>49712.311296296291</v>
      </c>
      <c r="N194" s="4">
        <f t="shared" si="14"/>
        <v>18</v>
      </c>
    </row>
    <row r="195" spans="12:14" x14ac:dyDescent="0.25">
      <c r="L195" s="1" t="str">
        <f t="shared" si="12"/>
        <v>0.0.0.0</v>
      </c>
      <c r="M195" s="3">
        <f t="shared" si="13"/>
        <v>49712.311296296291</v>
      </c>
      <c r="N195" s="4">
        <f t="shared" si="14"/>
        <v>18</v>
      </c>
    </row>
    <row r="196" spans="12:14" x14ac:dyDescent="0.25">
      <c r="L196" s="1" t="str">
        <f t="shared" si="12"/>
        <v>0.0.0.0</v>
      </c>
      <c r="M196" s="3">
        <f t="shared" si="13"/>
        <v>49712.311296296291</v>
      </c>
      <c r="N196" s="4">
        <f t="shared" si="14"/>
        <v>18</v>
      </c>
    </row>
    <row r="197" spans="12:14" x14ac:dyDescent="0.25">
      <c r="L197" s="1" t="str">
        <f t="shared" si="12"/>
        <v>0.0.0.0</v>
      </c>
      <c r="M197" s="3">
        <f t="shared" si="13"/>
        <v>49712.311296296291</v>
      </c>
      <c r="N197" s="4">
        <f t="shared" si="14"/>
        <v>18</v>
      </c>
    </row>
    <row r="198" spans="12:14" x14ac:dyDescent="0.25">
      <c r="L198" s="1" t="str">
        <f t="shared" si="12"/>
        <v>0.0.0.0</v>
      </c>
      <c r="M198" s="3">
        <f t="shared" si="13"/>
        <v>49712.311296296291</v>
      </c>
      <c r="N198" s="4">
        <f t="shared" si="14"/>
        <v>18</v>
      </c>
    </row>
    <row r="199" spans="12:14" x14ac:dyDescent="0.25">
      <c r="L199" s="1" t="str">
        <f t="shared" si="12"/>
        <v>0.0.0.0</v>
      </c>
      <c r="M199" s="3">
        <f t="shared" si="13"/>
        <v>49712.311296296291</v>
      </c>
      <c r="N199" s="4">
        <f t="shared" si="14"/>
        <v>18</v>
      </c>
    </row>
    <row r="200" spans="12:14" x14ac:dyDescent="0.25">
      <c r="L200" s="1" t="str">
        <f t="shared" si="12"/>
        <v>0.0.0.0</v>
      </c>
      <c r="M200" s="3">
        <f t="shared" si="13"/>
        <v>49712.311296296291</v>
      </c>
      <c r="N200" s="4">
        <f t="shared" si="14"/>
        <v>18</v>
      </c>
    </row>
    <row r="201" spans="12:14" x14ac:dyDescent="0.25">
      <c r="L201" s="1" t="str">
        <f t="shared" si="12"/>
        <v>0.0.0.0</v>
      </c>
      <c r="M201" s="3">
        <f t="shared" si="13"/>
        <v>49712.311296296291</v>
      </c>
      <c r="N201" s="4">
        <f t="shared" si="14"/>
        <v>18</v>
      </c>
    </row>
    <row r="202" spans="12:14" x14ac:dyDescent="0.25">
      <c r="L202" s="1" t="str">
        <f t="shared" si="12"/>
        <v>0.0.0.0</v>
      </c>
      <c r="M202" s="3">
        <f t="shared" si="13"/>
        <v>49712.311296296291</v>
      </c>
      <c r="N202" s="4">
        <f t="shared" si="14"/>
        <v>18</v>
      </c>
    </row>
    <row r="203" spans="12:14" x14ac:dyDescent="0.25">
      <c r="L203" s="1" t="str">
        <f t="shared" si="12"/>
        <v>0.0.0.0</v>
      </c>
      <c r="M203" s="3">
        <f t="shared" si="13"/>
        <v>49712.311296296291</v>
      </c>
      <c r="N203" s="4">
        <f t="shared" si="14"/>
        <v>18</v>
      </c>
    </row>
    <row r="204" spans="12:14" x14ac:dyDescent="0.25">
      <c r="L204" s="1" t="str">
        <f t="shared" si="12"/>
        <v>0.0.0.0</v>
      </c>
      <c r="M204" s="3">
        <f t="shared" si="13"/>
        <v>49712.311296296291</v>
      </c>
      <c r="N204" s="4">
        <f t="shared" si="14"/>
        <v>18</v>
      </c>
    </row>
    <row r="205" spans="12:14" x14ac:dyDescent="0.25">
      <c r="L205" s="1" t="str">
        <f t="shared" si="12"/>
        <v>0.0.0.0</v>
      </c>
      <c r="M205" s="3">
        <f t="shared" si="13"/>
        <v>49712.311296296291</v>
      </c>
      <c r="N205" s="4">
        <f t="shared" si="14"/>
        <v>18</v>
      </c>
    </row>
    <row r="206" spans="12:14" x14ac:dyDescent="0.25">
      <c r="L206" s="1" t="str">
        <f t="shared" si="12"/>
        <v>0.0.0.0</v>
      </c>
      <c r="M206" s="3">
        <f t="shared" si="13"/>
        <v>49712.311296296291</v>
      </c>
      <c r="N206" s="4">
        <f t="shared" si="14"/>
        <v>18</v>
      </c>
    </row>
    <row r="207" spans="12:14" x14ac:dyDescent="0.25">
      <c r="L207" s="1" t="str">
        <f t="shared" si="12"/>
        <v>0.0.0.0</v>
      </c>
      <c r="M207" s="3">
        <f t="shared" si="13"/>
        <v>49712.311296296291</v>
      </c>
      <c r="N207" s="4">
        <f t="shared" si="14"/>
        <v>18</v>
      </c>
    </row>
    <row r="208" spans="12:14" x14ac:dyDescent="0.25">
      <c r="L208" s="1" t="str">
        <f t="shared" si="12"/>
        <v>0.0.0.0</v>
      </c>
      <c r="M208" s="3">
        <f t="shared" si="13"/>
        <v>49712.311296296291</v>
      </c>
      <c r="N208" s="4">
        <f t="shared" si="14"/>
        <v>18</v>
      </c>
    </row>
    <row r="209" spans="12:14" x14ac:dyDescent="0.25">
      <c r="L209" s="1" t="str">
        <f t="shared" si="12"/>
        <v>0.0.0.0</v>
      </c>
      <c r="M209" s="3">
        <f t="shared" si="13"/>
        <v>49712.311296296291</v>
      </c>
      <c r="N209" s="4">
        <f t="shared" si="14"/>
        <v>18</v>
      </c>
    </row>
    <row r="210" spans="12:14" x14ac:dyDescent="0.25">
      <c r="L210" s="1" t="str">
        <f t="shared" si="12"/>
        <v>0.0.0.0</v>
      </c>
      <c r="M210" s="3">
        <f t="shared" si="13"/>
        <v>49712.311296296291</v>
      </c>
      <c r="N210" s="4">
        <f t="shared" si="14"/>
        <v>18</v>
      </c>
    </row>
    <row r="211" spans="12:14" x14ac:dyDescent="0.25">
      <c r="L211" s="1" t="str">
        <f t="shared" si="12"/>
        <v>0.0.0.0</v>
      </c>
      <c r="M211" s="3">
        <f t="shared" si="13"/>
        <v>49712.311296296291</v>
      </c>
      <c r="N211" s="4">
        <f t="shared" si="14"/>
        <v>18</v>
      </c>
    </row>
    <row r="212" spans="12:14" x14ac:dyDescent="0.25">
      <c r="L212" s="1" t="str">
        <f t="shared" si="12"/>
        <v>0.0.0.0</v>
      </c>
      <c r="M212" s="3">
        <f t="shared" si="13"/>
        <v>49712.311296296291</v>
      </c>
      <c r="N212" s="4">
        <f t="shared" si="14"/>
        <v>18</v>
      </c>
    </row>
    <row r="213" spans="12:14" x14ac:dyDescent="0.25">
      <c r="L213" s="1" t="str">
        <f t="shared" si="12"/>
        <v>0.0.0.0</v>
      </c>
      <c r="M213" s="3">
        <f t="shared" si="13"/>
        <v>49712.311296296291</v>
      </c>
      <c r="N213" s="4">
        <f t="shared" si="14"/>
        <v>18</v>
      </c>
    </row>
    <row r="214" spans="12:14" x14ac:dyDescent="0.25">
      <c r="L214" s="1" t="str">
        <f t="shared" si="12"/>
        <v>0.0.0.0</v>
      </c>
      <c r="M214" s="3">
        <f t="shared" si="13"/>
        <v>49712.311296296291</v>
      </c>
      <c r="N214" s="4">
        <f t="shared" si="14"/>
        <v>18</v>
      </c>
    </row>
    <row r="215" spans="12:14" x14ac:dyDescent="0.25">
      <c r="L215" s="1" t="str">
        <f t="shared" si="12"/>
        <v>0.0.0.0</v>
      </c>
      <c r="M215" s="3">
        <f t="shared" si="13"/>
        <v>49712.311296296291</v>
      </c>
      <c r="N215" s="4">
        <f t="shared" si="14"/>
        <v>18</v>
      </c>
    </row>
    <row r="216" spans="12:14" x14ac:dyDescent="0.25">
      <c r="L216" s="1" t="str">
        <f t="shared" si="12"/>
        <v>0.0.0.0</v>
      </c>
      <c r="M216" s="3">
        <f t="shared" si="13"/>
        <v>49712.311296296291</v>
      </c>
      <c r="N216" s="4">
        <f t="shared" si="14"/>
        <v>18</v>
      </c>
    </row>
    <row r="217" spans="12:14" x14ac:dyDescent="0.25">
      <c r="L217" s="1" t="str">
        <f t="shared" si="12"/>
        <v>0.0.0.0</v>
      </c>
      <c r="M217" s="3">
        <f t="shared" si="13"/>
        <v>49712.311296296291</v>
      </c>
      <c r="N217" s="4">
        <f t="shared" si="14"/>
        <v>18</v>
      </c>
    </row>
    <row r="218" spans="12:14" x14ac:dyDescent="0.25">
      <c r="L218" s="1" t="str">
        <f t="shared" si="12"/>
        <v>0.0.0.0</v>
      </c>
      <c r="M218" s="3">
        <f t="shared" si="13"/>
        <v>49712.311296296291</v>
      </c>
      <c r="N218" s="4">
        <f t="shared" si="14"/>
        <v>18</v>
      </c>
    </row>
    <row r="219" spans="12:14" x14ac:dyDescent="0.25">
      <c r="L219" s="1" t="str">
        <f t="shared" si="12"/>
        <v>0.0.0.0</v>
      </c>
      <c r="M219" s="3">
        <f t="shared" si="13"/>
        <v>49712.311296296291</v>
      </c>
      <c r="N219" s="4">
        <f t="shared" si="14"/>
        <v>18</v>
      </c>
    </row>
    <row r="220" spans="12:14" x14ac:dyDescent="0.25">
      <c r="L220" s="1" t="str">
        <f t="shared" si="12"/>
        <v>0.0.0.0</v>
      </c>
      <c r="M220" s="3">
        <f t="shared" si="13"/>
        <v>49712.311296296291</v>
      </c>
      <c r="N220" s="4">
        <f t="shared" si="14"/>
        <v>18</v>
      </c>
    </row>
    <row r="221" spans="12:14" x14ac:dyDescent="0.25">
      <c r="L221" s="1" t="str">
        <f t="shared" si="12"/>
        <v>0.0.0.0</v>
      </c>
      <c r="M221" s="3">
        <f t="shared" si="13"/>
        <v>49712.311296296291</v>
      </c>
      <c r="N221" s="4">
        <f t="shared" si="14"/>
        <v>18</v>
      </c>
    </row>
    <row r="222" spans="12:14" x14ac:dyDescent="0.25">
      <c r="L222" s="1" t="str">
        <f t="shared" si="12"/>
        <v>0.0.0.0</v>
      </c>
      <c r="M222" s="3">
        <f t="shared" si="13"/>
        <v>49712.311296296291</v>
      </c>
      <c r="N222" s="4">
        <f t="shared" si="14"/>
        <v>18</v>
      </c>
    </row>
    <row r="223" spans="12:14" x14ac:dyDescent="0.25">
      <c r="L223" s="1" t="str">
        <f t="shared" si="12"/>
        <v>0.0.0.0</v>
      </c>
      <c r="M223" s="3">
        <f t="shared" si="13"/>
        <v>49712.311296296291</v>
      </c>
      <c r="N223" s="4">
        <f t="shared" si="14"/>
        <v>18</v>
      </c>
    </row>
    <row r="224" spans="12:14" x14ac:dyDescent="0.25">
      <c r="L224" s="1" t="str">
        <f t="shared" si="12"/>
        <v>0.0.0.0</v>
      </c>
      <c r="M224" s="3">
        <f t="shared" si="13"/>
        <v>49712.311296296291</v>
      </c>
      <c r="N224" s="4">
        <f t="shared" si="14"/>
        <v>18</v>
      </c>
    </row>
    <row r="225" spans="14:14" x14ac:dyDescent="0.25">
      <c r="N225" s="1"/>
    </row>
    <row r="226" spans="14:14" x14ac:dyDescent="0.25">
      <c r="N226" s="1"/>
    </row>
    <row r="227" spans="14:14" x14ac:dyDescent="0.25">
      <c r="N227" s="1"/>
    </row>
    <row r="228" spans="14:14" x14ac:dyDescent="0.25">
      <c r="N228" s="1"/>
    </row>
    <row r="229" spans="14:14" x14ac:dyDescent="0.25">
      <c r="N229" s="1"/>
    </row>
    <row r="230" spans="14:14" x14ac:dyDescent="0.25">
      <c r="N230" s="1"/>
    </row>
    <row r="231" spans="14:14" x14ac:dyDescent="0.25">
      <c r="N231" s="1"/>
    </row>
    <row r="232" spans="14:14" x14ac:dyDescent="0.25">
      <c r="N232" s="1"/>
    </row>
    <row r="233" spans="14:14" x14ac:dyDescent="0.25">
      <c r="N233" s="1"/>
    </row>
    <row r="234" spans="14:14" x14ac:dyDescent="0.25">
      <c r="N234" s="1"/>
    </row>
    <row r="235" spans="14:14" x14ac:dyDescent="0.25">
      <c r="N235" s="1"/>
    </row>
    <row r="236" spans="14:14" x14ac:dyDescent="0.25">
      <c r="N236" s="1"/>
    </row>
    <row r="237" spans="14:14" x14ac:dyDescent="0.25">
      <c r="N237" s="1"/>
    </row>
    <row r="238" spans="14:14" x14ac:dyDescent="0.25">
      <c r="N238" s="1"/>
    </row>
    <row r="239" spans="14:14" x14ac:dyDescent="0.25">
      <c r="N239" s="1"/>
    </row>
    <row r="240" spans="14:14" x14ac:dyDescent="0.25">
      <c r="N240" s="1"/>
    </row>
    <row r="241" spans="14:14" x14ac:dyDescent="0.25">
      <c r="N241" s="1"/>
    </row>
    <row r="242" spans="14:14" x14ac:dyDescent="0.25">
      <c r="N242" s="1"/>
    </row>
    <row r="243" spans="14:14" x14ac:dyDescent="0.25">
      <c r="N243" s="1"/>
    </row>
    <row r="244" spans="14:14" x14ac:dyDescent="0.25">
      <c r="N244" s="1"/>
    </row>
    <row r="245" spans="14:14" x14ac:dyDescent="0.25">
      <c r="N245" s="1"/>
    </row>
    <row r="246" spans="14:14" x14ac:dyDescent="0.25">
      <c r="N246" s="1"/>
    </row>
    <row r="247" spans="14:14" x14ac:dyDescent="0.25">
      <c r="N247" s="1"/>
    </row>
    <row r="248" spans="14:14" x14ac:dyDescent="0.25">
      <c r="N248" s="1"/>
    </row>
    <row r="249" spans="14:14" x14ac:dyDescent="0.25">
      <c r="N249" s="1"/>
    </row>
    <row r="250" spans="14:14" x14ac:dyDescent="0.25">
      <c r="N250" s="1"/>
    </row>
    <row r="251" spans="14:14" x14ac:dyDescent="0.25">
      <c r="N251" s="1"/>
    </row>
    <row r="252" spans="14:14" x14ac:dyDescent="0.25">
      <c r="N252" s="1"/>
    </row>
    <row r="253" spans="14:14" x14ac:dyDescent="0.25">
      <c r="N253" s="1"/>
    </row>
    <row r="254" spans="14:14" x14ac:dyDescent="0.25">
      <c r="N254" s="1"/>
    </row>
    <row r="255" spans="14:14" x14ac:dyDescent="0.25">
      <c r="N255" s="1"/>
    </row>
    <row r="256" spans="14:14" x14ac:dyDescent="0.25">
      <c r="N256" s="1"/>
    </row>
    <row r="257" spans="14:14" x14ac:dyDescent="0.25">
      <c r="N257" s="1"/>
    </row>
    <row r="258" spans="14:14" x14ac:dyDescent="0.25">
      <c r="N258" s="1"/>
    </row>
    <row r="259" spans="14:14" x14ac:dyDescent="0.25">
      <c r="N259" s="1"/>
    </row>
    <row r="260" spans="14:14" x14ac:dyDescent="0.25">
      <c r="N260" s="1"/>
    </row>
    <row r="261" spans="14:14" x14ac:dyDescent="0.25">
      <c r="N261" s="1"/>
    </row>
    <row r="262" spans="14:14" x14ac:dyDescent="0.25">
      <c r="N262" s="1"/>
    </row>
    <row r="263" spans="14:14" x14ac:dyDescent="0.25">
      <c r="N263" s="1"/>
    </row>
    <row r="264" spans="14:14" x14ac:dyDescent="0.25">
      <c r="N264" s="1"/>
    </row>
    <row r="265" spans="14:14" x14ac:dyDescent="0.25">
      <c r="N265" s="1"/>
    </row>
    <row r="266" spans="14:14" x14ac:dyDescent="0.25">
      <c r="N266" s="1"/>
    </row>
    <row r="267" spans="14:14" x14ac:dyDescent="0.25">
      <c r="N267" s="1"/>
    </row>
    <row r="268" spans="14:14" x14ac:dyDescent="0.25">
      <c r="N268" s="1"/>
    </row>
    <row r="269" spans="14:14" x14ac:dyDescent="0.25">
      <c r="N269" s="1"/>
    </row>
    <row r="270" spans="14:14" x14ac:dyDescent="0.25">
      <c r="N270" s="1"/>
    </row>
    <row r="271" spans="14:14" x14ac:dyDescent="0.25">
      <c r="N271" s="1"/>
    </row>
    <row r="272" spans="14:14" x14ac:dyDescent="0.25">
      <c r="N272" s="1"/>
    </row>
    <row r="273" spans="14:14" x14ac:dyDescent="0.25">
      <c r="N273" s="1"/>
    </row>
    <row r="274" spans="14:14" x14ac:dyDescent="0.25">
      <c r="N274" s="1"/>
    </row>
    <row r="275" spans="14:14" x14ac:dyDescent="0.25">
      <c r="N275" s="1"/>
    </row>
    <row r="276" spans="14:14" x14ac:dyDescent="0.25">
      <c r="N276" s="1"/>
    </row>
    <row r="277" spans="14:14" x14ac:dyDescent="0.25">
      <c r="N277" s="1"/>
    </row>
    <row r="278" spans="14:14" x14ac:dyDescent="0.25">
      <c r="N278" s="1"/>
    </row>
    <row r="279" spans="14:14" x14ac:dyDescent="0.25">
      <c r="N279" s="1"/>
    </row>
    <row r="280" spans="14:14" x14ac:dyDescent="0.25">
      <c r="N280" s="1"/>
    </row>
    <row r="281" spans="14:14" x14ac:dyDescent="0.25">
      <c r="N281" s="1"/>
    </row>
    <row r="282" spans="14:14" x14ac:dyDescent="0.25">
      <c r="N282" s="1"/>
    </row>
    <row r="283" spans="14:14" x14ac:dyDescent="0.25">
      <c r="N283" s="1"/>
    </row>
    <row r="284" spans="14:14" x14ac:dyDescent="0.25">
      <c r="N284" s="1"/>
    </row>
    <row r="285" spans="14:14" x14ac:dyDescent="0.25">
      <c r="N285" s="1"/>
    </row>
    <row r="286" spans="14:14" x14ac:dyDescent="0.25">
      <c r="N286" s="1"/>
    </row>
    <row r="287" spans="14:14" x14ac:dyDescent="0.25">
      <c r="N287" s="1"/>
    </row>
    <row r="288" spans="14:14" x14ac:dyDescent="0.25">
      <c r="N288" s="1"/>
    </row>
    <row r="289" spans="14:14" x14ac:dyDescent="0.25">
      <c r="N289" s="1"/>
    </row>
    <row r="290" spans="14:14" x14ac:dyDescent="0.25">
      <c r="N290" s="1"/>
    </row>
    <row r="291" spans="14:14" x14ac:dyDescent="0.25">
      <c r="N291" s="1"/>
    </row>
    <row r="292" spans="14:14" x14ac:dyDescent="0.25">
      <c r="N292" s="1"/>
    </row>
    <row r="293" spans="14:14" x14ac:dyDescent="0.25">
      <c r="N293" s="1"/>
    </row>
    <row r="294" spans="14:14" x14ac:dyDescent="0.25">
      <c r="N294" s="1"/>
    </row>
    <row r="295" spans="14:14" x14ac:dyDescent="0.25">
      <c r="N295" s="1"/>
    </row>
    <row r="296" spans="14:14" x14ac:dyDescent="0.25">
      <c r="N296" s="1"/>
    </row>
    <row r="297" spans="14:14" x14ac:dyDescent="0.25">
      <c r="N297" s="1"/>
    </row>
    <row r="298" spans="14:14" x14ac:dyDescent="0.25">
      <c r="N298" s="1"/>
    </row>
    <row r="299" spans="14:14" x14ac:dyDescent="0.25">
      <c r="N299" s="1"/>
    </row>
    <row r="300" spans="14:14" x14ac:dyDescent="0.25">
      <c r="N300" s="1"/>
    </row>
    <row r="301" spans="14:14" x14ac:dyDescent="0.25">
      <c r="N301" s="1"/>
    </row>
    <row r="302" spans="14:14" x14ac:dyDescent="0.25">
      <c r="N302" s="1"/>
    </row>
    <row r="303" spans="14:14" x14ac:dyDescent="0.25">
      <c r="N303" s="1"/>
    </row>
    <row r="304" spans="14:14" x14ac:dyDescent="0.25">
      <c r="N304" s="1"/>
    </row>
    <row r="305" spans="14:14" x14ac:dyDescent="0.25">
      <c r="N305" s="1"/>
    </row>
    <row r="306" spans="14:14" x14ac:dyDescent="0.25">
      <c r="N306" s="1"/>
    </row>
    <row r="307" spans="14:14" x14ac:dyDescent="0.25">
      <c r="N307" s="1"/>
    </row>
    <row r="308" spans="14:14" x14ac:dyDescent="0.25">
      <c r="N308" s="1"/>
    </row>
    <row r="309" spans="14:14" x14ac:dyDescent="0.25">
      <c r="N309" s="1"/>
    </row>
    <row r="310" spans="14:14" x14ac:dyDescent="0.25">
      <c r="N310" s="1"/>
    </row>
    <row r="311" spans="14:14" x14ac:dyDescent="0.25">
      <c r="N311" s="1"/>
    </row>
    <row r="312" spans="14:14" x14ac:dyDescent="0.25">
      <c r="N312" s="1"/>
    </row>
    <row r="313" spans="14:14" x14ac:dyDescent="0.25">
      <c r="N313" s="1"/>
    </row>
    <row r="314" spans="14:14" x14ac:dyDescent="0.25">
      <c r="N314" s="1"/>
    </row>
    <row r="315" spans="14:14" x14ac:dyDescent="0.25">
      <c r="N315" s="1"/>
    </row>
    <row r="316" spans="14:14" x14ac:dyDescent="0.25">
      <c r="N316" s="1"/>
    </row>
    <row r="317" spans="14:14" x14ac:dyDescent="0.25">
      <c r="N317" s="1"/>
    </row>
    <row r="318" spans="14:14" x14ac:dyDescent="0.25">
      <c r="N318" s="1"/>
    </row>
    <row r="319" spans="14:14" x14ac:dyDescent="0.25">
      <c r="N319" s="1"/>
    </row>
    <row r="320" spans="14:14" x14ac:dyDescent="0.25">
      <c r="N320" s="1"/>
    </row>
    <row r="321" spans="14:14" x14ac:dyDescent="0.25">
      <c r="N321" s="1"/>
    </row>
    <row r="322" spans="14:14" x14ac:dyDescent="0.25">
      <c r="N322" s="1"/>
    </row>
    <row r="323" spans="14:14" x14ac:dyDescent="0.25">
      <c r="N323" s="1"/>
    </row>
    <row r="324" spans="14:14" x14ac:dyDescent="0.25">
      <c r="N324" s="1"/>
    </row>
    <row r="325" spans="14:14" x14ac:dyDescent="0.25">
      <c r="N325" s="1"/>
    </row>
    <row r="326" spans="14:14" x14ac:dyDescent="0.25">
      <c r="N326" s="1"/>
    </row>
    <row r="327" spans="14:14" x14ac:dyDescent="0.25">
      <c r="N327" s="1"/>
    </row>
    <row r="328" spans="14:14" x14ac:dyDescent="0.25">
      <c r="N328" s="1"/>
    </row>
    <row r="329" spans="14:14" x14ac:dyDescent="0.25">
      <c r="N329" s="1"/>
    </row>
    <row r="330" spans="14:14" x14ac:dyDescent="0.25">
      <c r="N330" s="1"/>
    </row>
    <row r="331" spans="14:14" x14ac:dyDescent="0.25">
      <c r="N331" s="1"/>
    </row>
    <row r="332" spans="14:14" x14ac:dyDescent="0.25">
      <c r="N332" s="1"/>
    </row>
    <row r="333" spans="14:14" x14ac:dyDescent="0.25">
      <c r="N333" s="1"/>
    </row>
    <row r="334" spans="14:14" x14ac:dyDescent="0.25">
      <c r="N334" s="1"/>
    </row>
    <row r="335" spans="14:14" x14ac:dyDescent="0.25">
      <c r="N335" s="1"/>
    </row>
    <row r="336" spans="14:14" x14ac:dyDescent="0.25">
      <c r="N336" s="1"/>
    </row>
    <row r="337" spans="14:14" x14ac:dyDescent="0.25">
      <c r="N337" s="1"/>
    </row>
    <row r="338" spans="14:14" x14ac:dyDescent="0.25">
      <c r="N338" s="1"/>
    </row>
    <row r="339" spans="14:14" x14ac:dyDescent="0.25">
      <c r="N339" s="1"/>
    </row>
    <row r="340" spans="14:14" x14ac:dyDescent="0.25">
      <c r="N340" s="1"/>
    </row>
    <row r="341" spans="14:14" x14ac:dyDescent="0.25">
      <c r="N341" s="1"/>
    </row>
    <row r="342" spans="14:14" x14ac:dyDescent="0.25">
      <c r="N342" s="1"/>
    </row>
    <row r="343" spans="14:14" x14ac:dyDescent="0.25">
      <c r="N343" s="1"/>
    </row>
    <row r="344" spans="14:14" x14ac:dyDescent="0.25">
      <c r="N344" s="1"/>
    </row>
    <row r="345" spans="14:14" x14ac:dyDescent="0.25">
      <c r="N345" s="1"/>
    </row>
    <row r="346" spans="14:14" x14ac:dyDescent="0.25">
      <c r="N346" s="1"/>
    </row>
    <row r="347" spans="14:14" x14ac:dyDescent="0.25">
      <c r="N347" s="1"/>
    </row>
    <row r="348" spans="14:14" x14ac:dyDescent="0.25">
      <c r="N348" s="1"/>
    </row>
    <row r="349" spans="14:14" x14ac:dyDescent="0.25">
      <c r="N349" s="1"/>
    </row>
    <row r="350" spans="14:14" x14ac:dyDescent="0.25">
      <c r="N350" s="1"/>
    </row>
    <row r="351" spans="14:14" x14ac:dyDescent="0.25">
      <c r="N351" s="1"/>
    </row>
    <row r="352" spans="14:14" x14ac:dyDescent="0.25">
      <c r="N352" s="1"/>
    </row>
    <row r="353" spans="14:14" x14ac:dyDescent="0.25">
      <c r="N353" s="1"/>
    </row>
    <row r="354" spans="14:14" x14ac:dyDescent="0.25">
      <c r="N354" s="1"/>
    </row>
    <row r="355" spans="14:14" x14ac:dyDescent="0.25">
      <c r="N355" s="1"/>
    </row>
    <row r="356" spans="14:14" x14ac:dyDescent="0.25">
      <c r="N356" s="1"/>
    </row>
    <row r="357" spans="14:14" x14ac:dyDescent="0.25">
      <c r="N357" s="1"/>
    </row>
    <row r="358" spans="14:14" x14ac:dyDescent="0.25">
      <c r="N358" s="1"/>
    </row>
    <row r="359" spans="14:14" x14ac:dyDescent="0.25">
      <c r="N359" s="1"/>
    </row>
    <row r="360" spans="14:14" x14ac:dyDescent="0.25">
      <c r="N360" s="1"/>
    </row>
    <row r="361" spans="14:14" x14ac:dyDescent="0.25">
      <c r="N361" s="1"/>
    </row>
    <row r="362" spans="14:14" x14ac:dyDescent="0.25">
      <c r="N362" s="1"/>
    </row>
    <row r="363" spans="14:14" x14ac:dyDescent="0.25">
      <c r="N363" s="1"/>
    </row>
    <row r="364" spans="14:14" x14ac:dyDescent="0.25">
      <c r="N364" s="1"/>
    </row>
    <row r="365" spans="14:14" x14ac:dyDescent="0.25">
      <c r="N365" s="1"/>
    </row>
    <row r="366" spans="14:14" x14ac:dyDescent="0.25">
      <c r="N366" s="1"/>
    </row>
    <row r="367" spans="14:14" x14ac:dyDescent="0.25">
      <c r="N367" s="1"/>
    </row>
    <row r="368" spans="14:14" x14ac:dyDescent="0.25">
      <c r="N368" s="1"/>
    </row>
    <row r="369" spans="14:14" x14ac:dyDescent="0.25">
      <c r="N369" s="1"/>
    </row>
    <row r="370" spans="14:14" x14ac:dyDescent="0.25">
      <c r="N370" s="1"/>
    </row>
    <row r="371" spans="14:14" x14ac:dyDescent="0.25">
      <c r="N371" s="1"/>
    </row>
    <row r="372" spans="14:14" x14ac:dyDescent="0.25">
      <c r="N372" s="1"/>
    </row>
    <row r="373" spans="14:14" x14ac:dyDescent="0.25">
      <c r="N373" s="1"/>
    </row>
    <row r="374" spans="14:14" x14ac:dyDescent="0.25">
      <c r="N374" s="1"/>
    </row>
    <row r="375" spans="14:14" x14ac:dyDescent="0.25">
      <c r="N375" s="1"/>
    </row>
    <row r="376" spans="14:14" x14ac:dyDescent="0.25">
      <c r="N376" s="1"/>
    </row>
    <row r="377" spans="14:14" x14ac:dyDescent="0.25">
      <c r="N377" s="1"/>
    </row>
    <row r="378" spans="14:14" x14ac:dyDescent="0.25">
      <c r="N378" s="1"/>
    </row>
    <row r="379" spans="14:14" x14ac:dyDescent="0.25">
      <c r="N379" s="1"/>
    </row>
    <row r="380" spans="14:14" x14ac:dyDescent="0.25">
      <c r="N380" s="1"/>
    </row>
    <row r="381" spans="14:14" x14ac:dyDescent="0.25">
      <c r="N381" s="1"/>
    </row>
    <row r="382" spans="14:14" x14ac:dyDescent="0.25">
      <c r="N382" s="1"/>
    </row>
    <row r="383" spans="14:14" x14ac:dyDescent="0.25">
      <c r="N383" s="1"/>
    </row>
    <row r="384" spans="14:14" x14ac:dyDescent="0.25">
      <c r="N384" s="1"/>
    </row>
    <row r="385" spans="14:14" x14ac:dyDescent="0.25">
      <c r="N385" s="1"/>
    </row>
    <row r="386" spans="14:14" x14ac:dyDescent="0.25">
      <c r="N386" s="1"/>
    </row>
    <row r="387" spans="14:14" x14ac:dyDescent="0.25">
      <c r="N387" s="1"/>
    </row>
    <row r="388" spans="14:14" x14ac:dyDescent="0.25">
      <c r="N388" s="1"/>
    </row>
    <row r="389" spans="14:14" x14ac:dyDescent="0.25">
      <c r="N389" s="1"/>
    </row>
    <row r="390" spans="14:14" x14ac:dyDescent="0.25">
      <c r="N390" s="1"/>
    </row>
    <row r="391" spans="14:14" x14ac:dyDescent="0.25">
      <c r="N391" s="1"/>
    </row>
    <row r="392" spans="14:14" x14ac:dyDescent="0.25">
      <c r="N392" s="1"/>
    </row>
  </sheetData>
  <autoFilter ref="A13:P504" xr:uid="{00000000-0009-0000-0000-000000000000}"/>
  <phoneticPr fontId="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TlnServAbfragen">
                <anchor moveWithCells="1" sizeWithCells="1">
                  <from>
                    <xdr:col>7</xdr:col>
                    <xdr:colOff>104775</xdr:colOff>
                    <xdr:row>3</xdr:row>
                    <xdr:rowOff>47625</xdr:rowOff>
                  </from>
                  <to>
                    <xdr:col>9</xdr:col>
                    <xdr:colOff>628650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le1.TlnServZusenden">
                <anchor moveWithCells="1" sizeWithCells="1">
                  <from>
                    <xdr:col>7</xdr:col>
                    <xdr:colOff>104775</xdr:colOff>
                    <xdr:row>5</xdr:row>
                    <xdr:rowOff>47625</xdr:rowOff>
                  </from>
                  <to>
                    <xdr:col>9</xdr:col>
                    <xdr:colOff>628650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abelle1.TlnServSucheabfrage">
                <anchor moveWithCells="1" sizeWithCells="1">
                  <from>
                    <xdr:col>4</xdr:col>
                    <xdr:colOff>85725</xdr:colOff>
                    <xdr:row>3</xdr:row>
                    <xdr:rowOff>66675</xdr:rowOff>
                  </from>
                  <to>
                    <xdr:col>4</xdr:col>
                    <xdr:colOff>1771650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abelle1.TlnServEinzelabfrage">
                <anchor moveWithCells="1" sizeWithCells="1">
                  <from>
                    <xdr:col>4</xdr:col>
                    <xdr:colOff>85725</xdr:colOff>
                    <xdr:row>9</xdr:row>
                    <xdr:rowOff>66675</xdr:rowOff>
                  </from>
                  <to>
                    <xdr:col>4</xdr:col>
                    <xdr:colOff>1771650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abelle1.TlnServDynIPTest">
                <anchor moveWithCells="1" sizeWithCells="1">
                  <from>
                    <xdr:col>11</xdr:col>
                    <xdr:colOff>85725</xdr:colOff>
                    <xdr:row>7</xdr:row>
                    <xdr:rowOff>66675</xdr:rowOff>
                  </from>
                  <to>
                    <xdr:col>11</xdr:col>
                    <xdr:colOff>895350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Tabelle1.TlnServZusendenEinzeln">
                <anchor moveWithCells="1" sizeWithCells="1">
                  <from>
                    <xdr:col>7</xdr:col>
                    <xdr:colOff>104775</xdr:colOff>
                    <xdr:row>7</xdr:row>
                    <xdr:rowOff>47625</xdr:rowOff>
                  </from>
                  <to>
                    <xdr:col>9</xdr:col>
                    <xdr:colOff>628650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P456"/>
  <sheetViews>
    <sheetView zoomScaleNormal="100" workbookViewId="0">
      <pane xSplit="4" ySplit="11" topLeftCell="E68" activePane="bottomRight" state="frozen"/>
      <selection pane="topRight" activeCell="C1" sqref="C1"/>
      <selection pane="bottomLeft" activeCell="A10" sqref="A10"/>
      <selection pane="bottomRight" activeCell="G68" sqref="G68"/>
    </sheetView>
  </sheetViews>
  <sheetFormatPr baseColWidth="10" defaultRowHeight="15" x14ac:dyDescent="0.25"/>
  <cols>
    <col min="1" max="1" width="28" customWidth="1"/>
    <col min="2" max="2" width="19" customWidth="1"/>
    <col min="3" max="3" width="14.28515625" customWidth="1"/>
    <col min="4" max="4" width="34.28515625" customWidth="1"/>
    <col min="5" max="5" width="5.5703125" customWidth="1"/>
    <col min="6" max="6" width="4.140625" customWidth="1"/>
    <col min="7" max="7" width="27.5703125" customWidth="1"/>
    <col min="8" max="8" width="12.28515625" customWidth="1"/>
    <col min="9" max="9" width="6.7109375" customWidth="1"/>
    <col min="10" max="10" width="7.140625" customWidth="1"/>
    <col min="11" max="11" width="7.85546875" customWidth="1"/>
    <col min="12" max="12" width="12.85546875" customWidth="1"/>
    <col min="13" max="13" width="7.85546875" customWidth="1"/>
    <col min="14" max="14" width="16.42578125" customWidth="1"/>
    <col min="15" max="15" width="19.42578125" customWidth="1"/>
    <col min="16" max="16" width="13.28515625" customWidth="1"/>
  </cols>
  <sheetData>
    <row r="1" spans="1:16" x14ac:dyDescent="0.25">
      <c r="N1" s="1"/>
      <c r="O1" s="3"/>
      <c r="P1" s="4"/>
    </row>
    <row r="2" spans="1:16" x14ac:dyDescent="0.25">
      <c r="H2">
        <v>21811</v>
      </c>
      <c r="N2" s="1"/>
      <c r="O2" s="3"/>
      <c r="P2" s="4"/>
    </row>
    <row r="3" spans="1:16" ht="15.75" thickBot="1" x14ac:dyDescent="0.3">
      <c r="H3">
        <v>40001</v>
      </c>
      <c r="N3" s="1"/>
      <c r="O3" s="3"/>
      <c r="P3" s="4"/>
    </row>
    <row r="4" spans="1:16" x14ac:dyDescent="0.25">
      <c r="B4" s="39"/>
      <c r="C4" s="39"/>
      <c r="D4" s="40"/>
      <c r="F4" s="25" t="s">
        <v>31</v>
      </c>
      <c r="G4" s="15" t="s">
        <v>6</v>
      </c>
      <c r="H4" s="15" t="s">
        <v>8</v>
      </c>
      <c r="L4" s="25" t="s">
        <v>32</v>
      </c>
      <c r="N4" s="1"/>
      <c r="O4" s="5" t="s">
        <v>14</v>
      </c>
      <c r="P4" s="4"/>
    </row>
    <row r="5" spans="1:16" ht="15.75" thickBot="1" x14ac:dyDescent="0.3">
      <c r="B5" s="39"/>
      <c r="C5" s="39"/>
      <c r="D5" s="40"/>
      <c r="F5" s="32">
        <v>1</v>
      </c>
      <c r="G5" s="32" t="s">
        <v>40</v>
      </c>
      <c r="H5" s="26">
        <v>11814</v>
      </c>
      <c r="L5" s="34">
        <v>42</v>
      </c>
      <c r="N5" s="1"/>
      <c r="O5" s="6">
        <v>1</v>
      </c>
      <c r="P5" s="4"/>
    </row>
    <row r="6" spans="1:16" ht="15.75" thickBot="1" x14ac:dyDescent="0.3">
      <c r="B6" s="39"/>
      <c r="C6" s="39"/>
      <c r="D6" s="40"/>
      <c r="F6" s="32">
        <v>2</v>
      </c>
      <c r="G6" s="32"/>
      <c r="H6" s="26"/>
      <c r="N6" s="1"/>
      <c r="P6" s="4"/>
    </row>
    <row r="7" spans="1:16" ht="15.75" thickBot="1" x14ac:dyDescent="0.3">
      <c r="L7" s="25" t="s">
        <v>34</v>
      </c>
      <c r="N7" s="1"/>
      <c r="O7" s="3"/>
      <c r="P7" s="2">
        <f>SUM(P12:P1015)</f>
        <v>4647</v>
      </c>
    </row>
    <row r="8" spans="1:16" ht="15.75" thickBot="1" x14ac:dyDescent="0.3">
      <c r="B8" s="42" t="s">
        <v>37</v>
      </c>
      <c r="C8" s="43"/>
      <c r="D8" s="44"/>
      <c r="L8" s="34">
        <v>120</v>
      </c>
      <c r="N8" s="1"/>
      <c r="O8" s="3"/>
      <c r="P8" s="4"/>
    </row>
    <row r="9" spans="1:16" ht="15.75" thickBot="1" x14ac:dyDescent="0.3">
      <c r="B9" s="45"/>
      <c r="C9" s="46"/>
      <c r="D9" s="47"/>
      <c r="L9" s="41">
        <f>1579028109-2^32</f>
        <v>-2715939187</v>
      </c>
      <c r="M9" t="s">
        <v>27</v>
      </c>
      <c r="N9" s="1" t="str">
        <f>ip_to_string(D9)</f>
        <v>0.0.0.0</v>
      </c>
      <c r="O9" s="3">
        <f>(2^32+L9)*TIME(0,0,1)+2+TIME($O$5,0,0)</f>
        <v>18277.829965277779</v>
      </c>
      <c r="P9" s="4">
        <f t="shared" ref="P9" si="0" xml:space="preserve"> 4 + 1 + 2 + 1 + LEN(D9)+1 + 4 + IF(OR(F9=1,F9=4,F9=6),LEN(G9)+1,0) + IF(OR(F9=2,F9=3,F9=5),4,0) + 5</f>
        <v>18</v>
      </c>
    </row>
    <row r="11" spans="1:16" x14ac:dyDescent="0.25">
      <c r="A11" s="33" t="s">
        <v>29</v>
      </c>
      <c r="B11" s="33" t="s">
        <v>33</v>
      </c>
      <c r="C11" s="10" t="s">
        <v>2</v>
      </c>
      <c r="D11" s="10" t="s">
        <v>3</v>
      </c>
      <c r="E11" s="11" t="s">
        <v>4</v>
      </c>
      <c r="F11" s="11" t="s">
        <v>5</v>
      </c>
      <c r="G11" s="10" t="s">
        <v>6</v>
      </c>
      <c r="H11" s="11" t="s">
        <v>15</v>
      </c>
      <c r="I11" s="10" t="s">
        <v>8</v>
      </c>
      <c r="J11" s="10" t="s">
        <v>35</v>
      </c>
      <c r="K11" s="11" t="s">
        <v>10</v>
      </c>
      <c r="L11" s="10" t="s">
        <v>16</v>
      </c>
      <c r="M11" s="12"/>
      <c r="N11" s="35" t="s">
        <v>7</v>
      </c>
      <c r="O11" s="36" t="s">
        <v>11</v>
      </c>
      <c r="P11" s="35" t="s">
        <v>12</v>
      </c>
    </row>
    <row r="12" spans="1:16" x14ac:dyDescent="0.25">
      <c r="A12" t="s">
        <v>30</v>
      </c>
      <c r="B12" s="37" t="s">
        <v>36</v>
      </c>
      <c r="C12">
        <v>555888001</v>
      </c>
      <c r="D12" t="s">
        <v>39</v>
      </c>
      <c r="E12">
        <v>0</v>
      </c>
      <c r="F12">
        <v>3</v>
      </c>
      <c r="G12" t="s">
        <v>28</v>
      </c>
      <c r="H12">
        <v>67258235</v>
      </c>
      <c r="I12">
        <v>19</v>
      </c>
      <c r="J12">
        <v>33</v>
      </c>
      <c r="K12">
        <v>54321</v>
      </c>
      <c r="L12">
        <v>-518705164</v>
      </c>
      <c r="N12" s="1" t="str">
        <f t="shared" ref="N12" si="1">ip_to_string(H12)</f>
        <v>123.71.2.4</v>
      </c>
      <c r="O12" s="3">
        <f>(2^32+L12)*TIME(0,0,1)+2+TIME($O$5,0,0)</f>
        <v>43708.779305555552</v>
      </c>
      <c r="P12" s="4">
        <f t="shared" ref="P12" si="2" xml:space="preserve"> 4 + 1 + 2 + 1 + LEN(D12)+1 + 4 + IF(OR(F12=1,F12=4,F12=6),LEN(G12)+1,0) + IF(OR(F12=2,F12=3,F12=5),4,0) + 5</f>
        <v>50</v>
      </c>
    </row>
    <row r="13" spans="1:16" x14ac:dyDescent="0.25">
      <c r="A13" t="s">
        <v>42</v>
      </c>
      <c r="B13" t="s">
        <v>43</v>
      </c>
      <c r="C13">
        <v>555888001</v>
      </c>
      <c r="D13" t="s">
        <v>41</v>
      </c>
      <c r="E13">
        <v>0</v>
      </c>
      <c r="F13">
        <v>0</v>
      </c>
      <c r="I13">
        <v>19</v>
      </c>
      <c r="J13">
        <v>33</v>
      </c>
      <c r="K13">
        <v>54321</v>
      </c>
      <c r="L13">
        <v>-506870567</v>
      </c>
      <c r="N13" s="1" t="str">
        <f t="shared" ref="N13:N33" si="3">ip_to_string(H13)</f>
        <v>0.0.0.0</v>
      </c>
      <c r="O13" s="3">
        <f t="shared" ref="O13:O33" si="4">(2^32+L13)*TIME(0,0,1)+2+TIME($O$5,0,0)</f>
        <v>43845.753807870366</v>
      </c>
      <c r="P13" s="4">
        <f t="shared" ref="P13:P33" si="5" xml:space="preserve"> 4 + 1 + 2 + 1 + LEN(D13)+1 + 4 + IF(OR(F13=1,F13=4,F13=6),LEN(G13)+1,0) + IF(OR(F13=2,F13=3,F13=5),4,0) + 5</f>
        <v>51</v>
      </c>
    </row>
    <row r="14" spans="1:16" x14ac:dyDescent="0.25">
      <c r="A14" t="s">
        <v>44</v>
      </c>
      <c r="B14" t="s">
        <v>45</v>
      </c>
      <c r="N14" s="1" t="str">
        <f t="shared" si="3"/>
        <v>0.0.0.0</v>
      </c>
      <c r="O14" s="3">
        <f t="shared" si="4"/>
        <v>49712.311296296291</v>
      </c>
      <c r="P14" s="4">
        <f t="shared" si="5"/>
        <v>18</v>
      </c>
    </row>
    <row r="15" spans="1:16" x14ac:dyDescent="0.25">
      <c r="A15" t="s">
        <v>46</v>
      </c>
      <c r="B15" t="s">
        <v>45</v>
      </c>
      <c r="N15" s="1" t="str">
        <f t="shared" si="3"/>
        <v>0.0.0.0</v>
      </c>
      <c r="O15" s="3">
        <f t="shared" si="4"/>
        <v>49712.311296296291</v>
      </c>
      <c r="P15" s="4">
        <f t="shared" si="5"/>
        <v>18</v>
      </c>
    </row>
    <row r="16" spans="1:16" x14ac:dyDescent="0.25">
      <c r="A16" t="s">
        <v>50</v>
      </c>
      <c r="B16" t="s">
        <v>45</v>
      </c>
      <c r="N16" s="1" t="str">
        <f t="shared" si="3"/>
        <v>0.0.0.0</v>
      </c>
      <c r="O16" s="3">
        <f t="shared" si="4"/>
        <v>49712.311296296291</v>
      </c>
      <c r="P16" s="4">
        <f t="shared" si="5"/>
        <v>18</v>
      </c>
    </row>
    <row r="17" spans="1:16" x14ac:dyDescent="0.25">
      <c r="A17" t="s">
        <v>52</v>
      </c>
      <c r="B17" t="s">
        <v>43</v>
      </c>
      <c r="C17">
        <v>555888001</v>
      </c>
      <c r="D17" t="s">
        <v>41</v>
      </c>
      <c r="E17">
        <v>0</v>
      </c>
      <c r="F17">
        <v>0</v>
      </c>
      <c r="H17">
        <v>0</v>
      </c>
      <c r="I17">
        <v>19</v>
      </c>
      <c r="J17">
        <v>33</v>
      </c>
      <c r="K17">
        <v>54321</v>
      </c>
      <c r="L17">
        <v>-506870567</v>
      </c>
      <c r="N17" s="1" t="str">
        <f t="shared" si="3"/>
        <v>0.0.0.0</v>
      </c>
      <c r="O17" s="3">
        <f t="shared" si="4"/>
        <v>43845.753807870366</v>
      </c>
      <c r="P17" s="4">
        <f t="shared" si="5"/>
        <v>51</v>
      </c>
    </row>
    <row r="18" spans="1:16" x14ac:dyDescent="0.25">
      <c r="A18" t="s">
        <v>47</v>
      </c>
      <c r="B18" t="s">
        <v>43</v>
      </c>
      <c r="C18">
        <v>555888001</v>
      </c>
      <c r="D18" t="s">
        <v>49</v>
      </c>
      <c r="E18">
        <v>2</v>
      </c>
      <c r="F18">
        <v>5</v>
      </c>
      <c r="H18">
        <v>1533326937</v>
      </c>
      <c r="I18">
        <v>20</v>
      </c>
      <c r="J18">
        <v>0</v>
      </c>
      <c r="K18">
        <v>54321</v>
      </c>
      <c r="L18">
        <v>-506870545</v>
      </c>
      <c r="N18" s="1" t="str">
        <f t="shared" si="3"/>
        <v>89.182.100.91</v>
      </c>
      <c r="O18" s="3">
        <f t="shared" si="4"/>
        <v>43845.754062499997</v>
      </c>
      <c r="P18" s="4">
        <f t="shared" si="5"/>
        <v>23</v>
      </c>
    </row>
    <row r="19" spans="1:16" x14ac:dyDescent="0.25">
      <c r="A19" t="s">
        <v>48</v>
      </c>
      <c r="B19" t="s">
        <v>53</v>
      </c>
      <c r="C19">
        <v>555888001</v>
      </c>
      <c r="D19" t="s">
        <v>49</v>
      </c>
      <c r="E19">
        <v>2</v>
      </c>
      <c r="F19">
        <v>5</v>
      </c>
      <c r="H19">
        <v>1533326937</v>
      </c>
      <c r="I19">
        <v>20</v>
      </c>
      <c r="J19">
        <v>0</v>
      </c>
      <c r="K19">
        <v>54321</v>
      </c>
      <c r="L19">
        <v>-506870547</v>
      </c>
      <c r="N19" s="1" t="str">
        <f t="shared" si="3"/>
        <v>89.182.100.91</v>
      </c>
      <c r="O19" s="3">
        <f t="shared" si="4"/>
        <v>43845.75403935185</v>
      </c>
      <c r="P19" s="4">
        <f t="shared" si="5"/>
        <v>23</v>
      </c>
    </row>
    <row r="20" spans="1:16" x14ac:dyDescent="0.25">
      <c r="A20" t="s">
        <v>42</v>
      </c>
      <c r="B20" t="s">
        <v>43</v>
      </c>
      <c r="C20">
        <v>555888001</v>
      </c>
      <c r="D20" t="s">
        <v>54</v>
      </c>
      <c r="E20">
        <v>0</v>
      </c>
      <c r="F20">
        <v>1</v>
      </c>
      <c r="G20" t="s">
        <v>28</v>
      </c>
      <c r="I20">
        <v>19</v>
      </c>
      <c r="J20">
        <v>33</v>
      </c>
      <c r="K20">
        <v>54321</v>
      </c>
      <c r="L20">
        <v>-506870532</v>
      </c>
      <c r="N20" s="1" t="str">
        <f t="shared" si="3"/>
        <v>0.0.0.0</v>
      </c>
      <c r="O20" s="3">
        <f t="shared" si="4"/>
        <v>43845.754212962958</v>
      </c>
      <c r="P20" s="4">
        <f t="shared" si="5"/>
        <v>66</v>
      </c>
    </row>
    <row r="21" spans="1:16" x14ac:dyDescent="0.25">
      <c r="A21" t="s">
        <v>44</v>
      </c>
      <c r="B21" t="s">
        <v>43</v>
      </c>
      <c r="C21">
        <v>555888001</v>
      </c>
      <c r="D21" t="s">
        <v>54</v>
      </c>
      <c r="E21">
        <v>0</v>
      </c>
      <c r="F21">
        <v>1</v>
      </c>
      <c r="G21" t="s">
        <v>28</v>
      </c>
      <c r="H21">
        <v>0</v>
      </c>
      <c r="I21">
        <v>19</v>
      </c>
      <c r="J21">
        <v>33</v>
      </c>
      <c r="K21">
        <v>0</v>
      </c>
      <c r="L21">
        <v>-506870532</v>
      </c>
      <c r="N21" s="1" t="str">
        <f t="shared" si="3"/>
        <v>0.0.0.0</v>
      </c>
      <c r="O21" s="3">
        <f t="shared" si="4"/>
        <v>43845.754212962958</v>
      </c>
      <c r="P21" s="4">
        <f t="shared" si="5"/>
        <v>66</v>
      </c>
    </row>
    <row r="22" spans="1:16" x14ac:dyDescent="0.25">
      <c r="A22" t="s">
        <v>46</v>
      </c>
      <c r="B22" t="s">
        <v>43</v>
      </c>
      <c r="C22">
        <v>555888001</v>
      </c>
      <c r="D22" t="s">
        <v>54</v>
      </c>
      <c r="E22">
        <v>0</v>
      </c>
      <c r="F22">
        <v>1</v>
      </c>
      <c r="G22" t="s">
        <v>28</v>
      </c>
      <c r="H22">
        <v>0</v>
      </c>
      <c r="I22">
        <v>19</v>
      </c>
      <c r="J22">
        <v>33</v>
      </c>
      <c r="K22">
        <v>0</v>
      </c>
      <c r="L22">
        <v>-506870532</v>
      </c>
      <c r="N22" s="1" t="str">
        <f t="shared" si="3"/>
        <v>0.0.0.0</v>
      </c>
      <c r="O22" s="3">
        <f t="shared" si="4"/>
        <v>43845.754212962958</v>
      </c>
      <c r="P22" s="4">
        <f t="shared" si="5"/>
        <v>66</v>
      </c>
    </row>
    <row r="23" spans="1:16" x14ac:dyDescent="0.25">
      <c r="A23" t="s">
        <v>50</v>
      </c>
      <c r="B23" t="s">
        <v>43</v>
      </c>
      <c r="C23">
        <v>555888001</v>
      </c>
      <c r="D23" t="s">
        <v>54</v>
      </c>
      <c r="E23">
        <v>0</v>
      </c>
      <c r="F23">
        <v>1</v>
      </c>
      <c r="G23" t="s">
        <v>28</v>
      </c>
      <c r="I23">
        <v>19</v>
      </c>
      <c r="J23">
        <v>33</v>
      </c>
      <c r="K23">
        <v>0</v>
      </c>
      <c r="L23">
        <v>0</v>
      </c>
      <c r="N23" s="1" t="str">
        <f t="shared" si="3"/>
        <v>0.0.0.0</v>
      </c>
      <c r="O23" s="3">
        <f t="shared" si="4"/>
        <v>49712.311296296291</v>
      </c>
      <c r="P23" s="4">
        <f t="shared" si="5"/>
        <v>66</v>
      </c>
    </row>
    <row r="24" spans="1:16" x14ac:dyDescent="0.25">
      <c r="A24" t="s">
        <v>52</v>
      </c>
      <c r="B24" t="s">
        <v>43</v>
      </c>
      <c r="C24">
        <v>555888001</v>
      </c>
      <c r="D24" t="s">
        <v>54</v>
      </c>
      <c r="E24">
        <v>0</v>
      </c>
      <c r="F24">
        <v>1</v>
      </c>
      <c r="G24" t="s">
        <v>28</v>
      </c>
      <c r="H24">
        <v>0</v>
      </c>
      <c r="I24">
        <v>19</v>
      </c>
      <c r="J24">
        <v>33</v>
      </c>
      <c r="K24">
        <v>54321</v>
      </c>
      <c r="L24">
        <v>-506870532</v>
      </c>
      <c r="N24" s="1" t="str">
        <f t="shared" si="3"/>
        <v>0.0.0.0</v>
      </c>
      <c r="O24" s="3">
        <f t="shared" si="4"/>
        <v>43845.754212962958</v>
      </c>
      <c r="P24" s="4">
        <f t="shared" si="5"/>
        <v>66</v>
      </c>
    </row>
    <row r="25" spans="1:16" x14ac:dyDescent="0.25">
      <c r="A25" t="s">
        <v>47</v>
      </c>
      <c r="B25" t="s">
        <v>110</v>
      </c>
      <c r="C25">
        <v>555888001</v>
      </c>
      <c r="D25" t="s">
        <v>54</v>
      </c>
      <c r="E25">
        <v>0</v>
      </c>
      <c r="F25">
        <v>1</v>
      </c>
      <c r="G25" t="s">
        <v>28</v>
      </c>
      <c r="I25">
        <v>20</v>
      </c>
      <c r="J25">
        <v>33</v>
      </c>
      <c r="K25">
        <v>54321</v>
      </c>
      <c r="L25">
        <v>-506870513</v>
      </c>
      <c r="N25" s="1" t="str">
        <f t="shared" si="3"/>
        <v>0.0.0.0</v>
      </c>
      <c r="O25" s="3">
        <f t="shared" si="4"/>
        <v>43845.754432870366</v>
      </c>
      <c r="P25" s="4">
        <f t="shared" si="5"/>
        <v>66</v>
      </c>
    </row>
    <row r="26" spans="1:16" x14ac:dyDescent="0.25">
      <c r="A26" t="s">
        <v>56</v>
      </c>
      <c r="B26" t="s">
        <v>43</v>
      </c>
      <c r="C26">
        <v>555888001</v>
      </c>
      <c r="D26" t="s">
        <v>54</v>
      </c>
      <c r="E26">
        <v>0</v>
      </c>
      <c r="F26">
        <v>1</v>
      </c>
      <c r="G26" t="s">
        <v>28</v>
      </c>
      <c r="H26">
        <v>0</v>
      </c>
      <c r="I26">
        <v>19</v>
      </c>
      <c r="J26">
        <v>33</v>
      </c>
      <c r="K26">
        <v>0</v>
      </c>
      <c r="L26">
        <v>-506870532</v>
      </c>
      <c r="N26" s="1" t="str">
        <f t="shared" si="3"/>
        <v>0.0.0.0</v>
      </c>
      <c r="O26" s="3">
        <f t="shared" si="4"/>
        <v>43845.754212962958</v>
      </c>
      <c r="P26" s="4">
        <f t="shared" si="5"/>
        <v>66</v>
      </c>
    </row>
    <row r="27" spans="1:16" x14ac:dyDescent="0.25">
      <c r="A27" t="s">
        <v>42</v>
      </c>
      <c r="B27" t="s">
        <v>43</v>
      </c>
      <c r="C27">
        <v>555888001</v>
      </c>
      <c r="D27" t="s">
        <v>57</v>
      </c>
      <c r="E27">
        <v>0</v>
      </c>
      <c r="F27">
        <v>2</v>
      </c>
      <c r="H27">
        <v>67258235</v>
      </c>
      <c r="I27">
        <v>19</v>
      </c>
      <c r="J27">
        <v>33</v>
      </c>
      <c r="K27">
        <v>54321</v>
      </c>
      <c r="L27">
        <v>-506870510</v>
      </c>
      <c r="N27" s="1" t="str">
        <f t="shared" si="3"/>
        <v>123.71.2.4</v>
      </c>
      <c r="O27" s="3">
        <f t="shared" si="4"/>
        <v>43845.754467592589</v>
      </c>
      <c r="P27" s="4">
        <f t="shared" si="5"/>
        <v>55</v>
      </c>
    </row>
    <row r="28" spans="1:16" x14ac:dyDescent="0.25">
      <c r="A28" t="s">
        <v>44</v>
      </c>
      <c r="B28" t="s">
        <v>43</v>
      </c>
      <c r="C28">
        <v>555888001</v>
      </c>
      <c r="D28" t="s">
        <v>57</v>
      </c>
      <c r="E28">
        <v>0</v>
      </c>
      <c r="F28">
        <v>2</v>
      </c>
      <c r="H28">
        <v>67258235</v>
      </c>
      <c r="I28">
        <v>19</v>
      </c>
      <c r="J28">
        <v>33</v>
      </c>
      <c r="K28">
        <v>0</v>
      </c>
      <c r="L28">
        <v>-506870510</v>
      </c>
      <c r="N28" s="1" t="str">
        <f t="shared" si="3"/>
        <v>123.71.2.4</v>
      </c>
      <c r="O28" s="3">
        <f t="shared" si="4"/>
        <v>43845.754467592589</v>
      </c>
      <c r="P28" s="4">
        <f t="shared" si="5"/>
        <v>55</v>
      </c>
    </row>
    <row r="29" spans="1:16" x14ac:dyDescent="0.25">
      <c r="A29" t="s">
        <v>46</v>
      </c>
      <c r="B29" t="s">
        <v>43</v>
      </c>
      <c r="C29">
        <v>555888001</v>
      </c>
      <c r="D29" t="s">
        <v>57</v>
      </c>
      <c r="E29">
        <v>0</v>
      </c>
      <c r="F29">
        <v>2</v>
      </c>
      <c r="H29">
        <v>67258235</v>
      </c>
      <c r="I29">
        <v>19</v>
      </c>
      <c r="J29">
        <v>33</v>
      </c>
      <c r="K29">
        <v>0</v>
      </c>
      <c r="L29">
        <v>-506870510</v>
      </c>
      <c r="N29" s="1" t="str">
        <f t="shared" si="3"/>
        <v>123.71.2.4</v>
      </c>
      <c r="O29" s="3">
        <f t="shared" si="4"/>
        <v>43845.754467592589</v>
      </c>
      <c r="P29" s="4">
        <f t="shared" si="5"/>
        <v>55</v>
      </c>
    </row>
    <row r="30" spans="1:16" x14ac:dyDescent="0.25">
      <c r="A30" t="s">
        <v>50</v>
      </c>
      <c r="B30" t="s">
        <v>43</v>
      </c>
      <c r="C30">
        <v>555888001</v>
      </c>
      <c r="D30" t="s">
        <v>57</v>
      </c>
      <c r="E30">
        <v>0</v>
      </c>
      <c r="F30">
        <v>2</v>
      </c>
      <c r="H30">
        <v>67258235</v>
      </c>
      <c r="I30">
        <v>19</v>
      </c>
      <c r="J30">
        <v>33</v>
      </c>
      <c r="K30">
        <v>0</v>
      </c>
      <c r="L30">
        <v>0</v>
      </c>
      <c r="N30" s="1" t="str">
        <f t="shared" si="3"/>
        <v>123.71.2.4</v>
      </c>
      <c r="O30" s="3">
        <f t="shared" si="4"/>
        <v>49712.311296296291</v>
      </c>
      <c r="P30" s="4">
        <f t="shared" si="5"/>
        <v>55</v>
      </c>
    </row>
    <row r="31" spans="1:16" x14ac:dyDescent="0.25">
      <c r="A31" t="s">
        <v>52</v>
      </c>
      <c r="B31" t="s">
        <v>43</v>
      </c>
      <c r="C31">
        <v>555888001</v>
      </c>
      <c r="D31" t="s">
        <v>57</v>
      </c>
      <c r="E31">
        <v>0</v>
      </c>
      <c r="F31">
        <v>2</v>
      </c>
      <c r="H31">
        <v>67258235</v>
      </c>
      <c r="I31">
        <v>19</v>
      </c>
      <c r="J31">
        <v>33</v>
      </c>
      <c r="K31">
        <v>54321</v>
      </c>
      <c r="L31">
        <v>-506870510</v>
      </c>
      <c r="N31" s="1" t="str">
        <f t="shared" si="3"/>
        <v>123.71.2.4</v>
      </c>
      <c r="O31" s="3">
        <f t="shared" si="4"/>
        <v>43845.754467592589</v>
      </c>
      <c r="P31" s="4">
        <f t="shared" si="5"/>
        <v>55</v>
      </c>
    </row>
    <row r="32" spans="1:16" x14ac:dyDescent="0.25">
      <c r="A32" t="s">
        <v>47</v>
      </c>
      <c r="B32" t="s">
        <v>110</v>
      </c>
      <c r="C32">
        <v>555888001</v>
      </c>
      <c r="D32" t="s">
        <v>57</v>
      </c>
      <c r="E32">
        <v>0</v>
      </c>
      <c r="F32">
        <v>2</v>
      </c>
      <c r="H32">
        <v>67258235</v>
      </c>
      <c r="I32">
        <v>20</v>
      </c>
      <c r="J32">
        <v>33</v>
      </c>
      <c r="K32">
        <v>54321</v>
      </c>
      <c r="L32">
        <v>-506870491</v>
      </c>
      <c r="N32" s="1" t="str">
        <f t="shared" si="3"/>
        <v>123.71.2.4</v>
      </c>
      <c r="O32" s="3">
        <f t="shared" si="4"/>
        <v>43845.754687499997</v>
      </c>
      <c r="P32" s="4">
        <f t="shared" si="5"/>
        <v>55</v>
      </c>
    </row>
    <row r="33" spans="1:16" x14ac:dyDescent="0.25">
      <c r="A33" t="s">
        <v>56</v>
      </c>
      <c r="B33" t="s">
        <v>43</v>
      </c>
      <c r="C33">
        <v>555888001</v>
      </c>
      <c r="D33" t="s">
        <v>57</v>
      </c>
      <c r="E33">
        <v>0</v>
      </c>
      <c r="F33">
        <v>2</v>
      </c>
      <c r="H33">
        <v>67258235</v>
      </c>
      <c r="I33">
        <v>19</v>
      </c>
      <c r="J33">
        <v>33</v>
      </c>
      <c r="K33">
        <v>0</v>
      </c>
      <c r="L33">
        <v>-506870510</v>
      </c>
      <c r="N33" s="1" t="str">
        <f t="shared" si="3"/>
        <v>123.71.2.4</v>
      </c>
      <c r="O33" s="3">
        <f t="shared" si="4"/>
        <v>43845.754467592589</v>
      </c>
      <c r="P33" s="4">
        <f t="shared" si="5"/>
        <v>55</v>
      </c>
    </row>
    <row r="34" spans="1:16" x14ac:dyDescent="0.25">
      <c r="A34" t="s">
        <v>42</v>
      </c>
      <c r="B34" t="s">
        <v>43</v>
      </c>
      <c r="C34">
        <v>555888001</v>
      </c>
      <c r="D34" t="s">
        <v>58</v>
      </c>
      <c r="E34">
        <v>0</v>
      </c>
      <c r="F34">
        <v>3</v>
      </c>
      <c r="G34" t="s">
        <v>28</v>
      </c>
      <c r="I34">
        <v>19</v>
      </c>
      <c r="J34">
        <v>33</v>
      </c>
      <c r="K34">
        <v>54321</v>
      </c>
      <c r="L34">
        <v>-506870487</v>
      </c>
      <c r="N34" s="1" t="str">
        <f t="shared" ref="N34:N97" si="6">ip_to_string(H34)</f>
        <v>0.0.0.0</v>
      </c>
      <c r="O34" s="3">
        <f t="shared" ref="O34:O97" si="7">(2^32+L34)*TIME(0,0,1)+2+TIME($O$5,0,0)</f>
        <v>43845.75473379629</v>
      </c>
      <c r="P34" s="4">
        <f t="shared" ref="P34:P97" si="8" xml:space="preserve"> 4 + 1 + 2 + 1 + LEN(D34)+1 + 4 + IF(OR(F34=1,F34=4,F34=6),LEN(G34)+1,0) + IF(OR(F34=2,F34=3,F34=5),4,0) + 5</f>
        <v>55</v>
      </c>
    </row>
    <row r="35" spans="1:16" x14ac:dyDescent="0.25">
      <c r="A35" t="s">
        <v>44</v>
      </c>
      <c r="B35" t="s">
        <v>43</v>
      </c>
      <c r="C35">
        <v>555888001</v>
      </c>
      <c r="D35" t="s">
        <v>58</v>
      </c>
      <c r="E35">
        <v>0</v>
      </c>
      <c r="F35">
        <v>3</v>
      </c>
      <c r="G35" t="s">
        <v>28</v>
      </c>
      <c r="H35">
        <v>0</v>
      </c>
      <c r="I35">
        <v>19</v>
      </c>
      <c r="J35">
        <v>33</v>
      </c>
      <c r="K35">
        <v>0</v>
      </c>
      <c r="L35">
        <v>-506870487</v>
      </c>
      <c r="N35" s="1" t="str">
        <f t="shared" si="6"/>
        <v>0.0.0.0</v>
      </c>
      <c r="O35" s="3">
        <f t="shared" si="7"/>
        <v>43845.75473379629</v>
      </c>
      <c r="P35" s="4">
        <f t="shared" si="8"/>
        <v>55</v>
      </c>
    </row>
    <row r="36" spans="1:16" x14ac:dyDescent="0.25">
      <c r="A36" t="s">
        <v>46</v>
      </c>
      <c r="B36" t="s">
        <v>43</v>
      </c>
      <c r="C36">
        <v>555888001</v>
      </c>
      <c r="D36" t="s">
        <v>58</v>
      </c>
      <c r="E36">
        <v>0</v>
      </c>
      <c r="F36">
        <v>3</v>
      </c>
      <c r="G36" t="s">
        <v>28</v>
      </c>
      <c r="H36">
        <v>0</v>
      </c>
      <c r="I36">
        <v>19</v>
      </c>
      <c r="J36">
        <v>33</v>
      </c>
      <c r="K36">
        <v>0</v>
      </c>
      <c r="L36">
        <v>-506870487</v>
      </c>
      <c r="N36" s="1" t="str">
        <f t="shared" si="6"/>
        <v>0.0.0.0</v>
      </c>
      <c r="O36" s="3">
        <f t="shared" si="7"/>
        <v>43845.75473379629</v>
      </c>
      <c r="P36" s="4">
        <f t="shared" si="8"/>
        <v>55</v>
      </c>
    </row>
    <row r="37" spans="1:16" x14ac:dyDescent="0.25">
      <c r="A37" t="s">
        <v>50</v>
      </c>
      <c r="B37" t="s">
        <v>43</v>
      </c>
      <c r="C37">
        <v>555888001</v>
      </c>
      <c r="D37" t="s">
        <v>58</v>
      </c>
      <c r="E37">
        <v>0</v>
      </c>
      <c r="F37">
        <v>3</v>
      </c>
      <c r="G37" t="s">
        <v>28</v>
      </c>
      <c r="I37">
        <v>19</v>
      </c>
      <c r="J37">
        <v>33</v>
      </c>
      <c r="K37">
        <v>0</v>
      </c>
      <c r="L37">
        <v>0</v>
      </c>
      <c r="N37" s="1" t="str">
        <f t="shared" si="6"/>
        <v>0.0.0.0</v>
      </c>
      <c r="O37" s="3">
        <f t="shared" si="7"/>
        <v>49712.311296296291</v>
      </c>
      <c r="P37" s="4">
        <f t="shared" si="8"/>
        <v>55</v>
      </c>
    </row>
    <row r="38" spans="1:16" x14ac:dyDescent="0.25">
      <c r="A38" t="s">
        <v>52</v>
      </c>
      <c r="B38" t="s">
        <v>43</v>
      </c>
      <c r="C38">
        <v>555888001</v>
      </c>
      <c r="D38" t="s">
        <v>58</v>
      </c>
      <c r="E38">
        <v>0</v>
      </c>
      <c r="F38">
        <v>3</v>
      </c>
      <c r="G38" t="s">
        <v>28</v>
      </c>
      <c r="H38">
        <v>0</v>
      </c>
      <c r="I38">
        <v>19</v>
      </c>
      <c r="J38">
        <v>33</v>
      </c>
      <c r="K38">
        <v>54321</v>
      </c>
      <c r="L38">
        <v>-506870487</v>
      </c>
      <c r="N38" s="1" t="str">
        <f t="shared" si="6"/>
        <v>0.0.0.0</v>
      </c>
      <c r="O38" s="3">
        <f t="shared" si="7"/>
        <v>43845.75473379629</v>
      </c>
      <c r="P38" s="4">
        <f t="shared" si="8"/>
        <v>55</v>
      </c>
    </row>
    <row r="39" spans="1:16" x14ac:dyDescent="0.25">
      <c r="A39" t="s">
        <v>47</v>
      </c>
      <c r="B39" t="s">
        <v>110</v>
      </c>
      <c r="C39">
        <v>555888001</v>
      </c>
      <c r="D39" t="s">
        <v>58</v>
      </c>
      <c r="E39">
        <v>0</v>
      </c>
      <c r="F39">
        <v>3</v>
      </c>
      <c r="G39" t="s">
        <v>28</v>
      </c>
      <c r="I39">
        <v>20</v>
      </c>
      <c r="J39">
        <v>33</v>
      </c>
      <c r="K39">
        <v>54321</v>
      </c>
      <c r="L39">
        <v>-506870468</v>
      </c>
      <c r="N39" s="1" t="str">
        <f t="shared" si="6"/>
        <v>0.0.0.0</v>
      </c>
      <c r="O39" s="3">
        <f t="shared" si="7"/>
        <v>43845.754953703698</v>
      </c>
      <c r="P39" s="4">
        <f t="shared" si="8"/>
        <v>55</v>
      </c>
    </row>
    <row r="40" spans="1:16" x14ac:dyDescent="0.25">
      <c r="A40" t="s">
        <v>56</v>
      </c>
      <c r="B40" t="s">
        <v>43</v>
      </c>
      <c r="C40">
        <v>555888001</v>
      </c>
      <c r="D40" t="s">
        <v>58</v>
      </c>
      <c r="E40">
        <v>0</v>
      </c>
      <c r="F40">
        <v>3</v>
      </c>
      <c r="G40" t="s">
        <v>28</v>
      </c>
      <c r="H40">
        <v>0</v>
      </c>
      <c r="I40">
        <v>19</v>
      </c>
      <c r="J40">
        <v>33</v>
      </c>
      <c r="K40">
        <v>0</v>
      </c>
      <c r="L40">
        <v>-506870487</v>
      </c>
      <c r="N40" s="1" t="str">
        <f t="shared" si="6"/>
        <v>0.0.0.0</v>
      </c>
      <c r="O40" s="3">
        <f t="shared" si="7"/>
        <v>43845.75473379629</v>
      </c>
      <c r="P40" s="4">
        <f t="shared" si="8"/>
        <v>55</v>
      </c>
    </row>
    <row r="41" spans="1:16" x14ac:dyDescent="0.25">
      <c r="A41" t="s">
        <v>42</v>
      </c>
      <c r="B41" t="s">
        <v>43</v>
      </c>
      <c r="C41">
        <v>555888001</v>
      </c>
      <c r="D41" t="s">
        <v>59</v>
      </c>
      <c r="E41">
        <v>0</v>
      </c>
      <c r="F41">
        <v>4</v>
      </c>
      <c r="H41">
        <v>67258235</v>
      </c>
      <c r="I41">
        <v>19</v>
      </c>
      <c r="J41">
        <v>33</v>
      </c>
      <c r="K41">
        <v>54321</v>
      </c>
      <c r="L41">
        <v>-506870465</v>
      </c>
      <c r="N41" s="1" t="str">
        <f t="shared" si="6"/>
        <v>123.71.2.4</v>
      </c>
      <c r="O41" s="3">
        <f t="shared" si="7"/>
        <v>43845.754988425921</v>
      </c>
      <c r="P41" s="4">
        <f t="shared" si="8"/>
        <v>52</v>
      </c>
    </row>
    <row r="42" spans="1:16" x14ac:dyDescent="0.25">
      <c r="A42" t="s">
        <v>44</v>
      </c>
      <c r="B42" t="s">
        <v>43</v>
      </c>
      <c r="C42">
        <v>555888001</v>
      </c>
      <c r="D42" t="s">
        <v>59</v>
      </c>
      <c r="E42">
        <v>0</v>
      </c>
      <c r="F42">
        <v>4</v>
      </c>
      <c r="H42">
        <v>67258235</v>
      </c>
      <c r="I42">
        <v>19</v>
      </c>
      <c r="J42">
        <v>33</v>
      </c>
      <c r="K42">
        <v>0</v>
      </c>
      <c r="L42">
        <v>-506870465</v>
      </c>
      <c r="N42" s="1" t="str">
        <f t="shared" si="6"/>
        <v>123.71.2.4</v>
      </c>
      <c r="O42" s="3">
        <f t="shared" si="7"/>
        <v>43845.754988425921</v>
      </c>
      <c r="P42" s="4">
        <f t="shared" si="8"/>
        <v>52</v>
      </c>
    </row>
    <row r="43" spans="1:16" x14ac:dyDescent="0.25">
      <c r="A43" t="s">
        <v>46</v>
      </c>
      <c r="B43" t="s">
        <v>43</v>
      </c>
      <c r="C43">
        <v>555888001</v>
      </c>
      <c r="D43" t="s">
        <v>59</v>
      </c>
      <c r="E43">
        <v>0</v>
      </c>
      <c r="F43">
        <v>4</v>
      </c>
      <c r="H43">
        <v>67258235</v>
      </c>
      <c r="I43">
        <v>19</v>
      </c>
      <c r="J43">
        <v>33</v>
      </c>
      <c r="K43">
        <v>0</v>
      </c>
      <c r="L43">
        <v>-506870465</v>
      </c>
      <c r="N43" s="1" t="str">
        <f t="shared" si="6"/>
        <v>123.71.2.4</v>
      </c>
      <c r="O43" s="3">
        <f t="shared" si="7"/>
        <v>43845.754988425921</v>
      </c>
      <c r="P43" s="4">
        <f t="shared" si="8"/>
        <v>52</v>
      </c>
    </row>
    <row r="44" spans="1:16" x14ac:dyDescent="0.25">
      <c r="A44" t="s">
        <v>50</v>
      </c>
      <c r="B44" t="s">
        <v>43</v>
      </c>
      <c r="C44">
        <v>555888001</v>
      </c>
      <c r="D44" t="s">
        <v>59</v>
      </c>
      <c r="E44">
        <v>0</v>
      </c>
      <c r="F44">
        <v>4</v>
      </c>
      <c r="H44">
        <v>67258235</v>
      </c>
      <c r="I44">
        <v>19</v>
      </c>
      <c r="J44">
        <v>33</v>
      </c>
      <c r="K44">
        <v>0</v>
      </c>
      <c r="L44">
        <v>0</v>
      </c>
      <c r="N44" s="1" t="str">
        <f t="shared" si="6"/>
        <v>123.71.2.4</v>
      </c>
      <c r="O44" s="3">
        <f t="shared" si="7"/>
        <v>49712.311296296291</v>
      </c>
      <c r="P44" s="4">
        <f t="shared" si="8"/>
        <v>52</v>
      </c>
    </row>
    <row r="45" spans="1:16" x14ac:dyDescent="0.25">
      <c r="A45" t="s">
        <v>52</v>
      </c>
      <c r="B45" t="s">
        <v>43</v>
      </c>
      <c r="C45">
        <v>555888001</v>
      </c>
      <c r="D45" t="s">
        <v>59</v>
      </c>
      <c r="E45">
        <v>0</v>
      </c>
      <c r="F45">
        <v>4</v>
      </c>
      <c r="H45">
        <v>67258235</v>
      </c>
      <c r="I45">
        <v>19</v>
      </c>
      <c r="J45">
        <v>33</v>
      </c>
      <c r="K45">
        <v>54321</v>
      </c>
      <c r="L45">
        <v>-506870465</v>
      </c>
      <c r="N45" s="1" t="str">
        <f t="shared" si="6"/>
        <v>123.71.2.4</v>
      </c>
      <c r="O45" s="3">
        <f t="shared" si="7"/>
        <v>43845.754988425921</v>
      </c>
      <c r="P45" s="4">
        <f t="shared" si="8"/>
        <v>52</v>
      </c>
    </row>
    <row r="46" spans="1:16" x14ac:dyDescent="0.25">
      <c r="A46" t="s">
        <v>47</v>
      </c>
      <c r="B46" t="s">
        <v>110</v>
      </c>
      <c r="C46">
        <v>555888001</v>
      </c>
      <c r="D46" t="s">
        <v>59</v>
      </c>
      <c r="E46">
        <v>0</v>
      </c>
      <c r="F46">
        <v>4</v>
      </c>
      <c r="H46">
        <v>67258235</v>
      </c>
      <c r="I46">
        <v>20</v>
      </c>
      <c r="J46">
        <v>33</v>
      </c>
      <c r="K46">
        <v>54321</v>
      </c>
      <c r="L46">
        <v>-506870446</v>
      </c>
      <c r="N46" s="1" t="str">
        <f t="shared" si="6"/>
        <v>123.71.2.4</v>
      </c>
      <c r="O46" s="3">
        <f t="shared" si="7"/>
        <v>43845.755208333328</v>
      </c>
      <c r="P46" s="4">
        <f t="shared" si="8"/>
        <v>52</v>
      </c>
    </row>
    <row r="47" spans="1:16" x14ac:dyDescent="0.25">
      <c r="A47" t="s">
        <v>56</v>
      </c>
      <c r="B47" t="s">
        <v>43</v>
      </c>
      <c r="C47">
        <v>555888001</v>
      </c>
      <c r="D47" t="s">
        <v>59</v>
      </c>
      <c r="E47">
        <v>0</v>
      </c>
      <c r="F47">
        <v>4</v>
      </c>
      <c r="H47">
        <v>67258235</v>
      </c>
      <c r="I47">
        <v>19</v>
      </c>
      <c r="J47">
        <v>33</v>
      </c>
      <c r="K47">
        <v>0</v>
      </c>
      <c r="L47">
        <v>-506870465</v>
      </c>
      <c r="N47" s="1" t="str">
        <f t="shared" si="6"/>
        <v>123.71.2.4</v>
      </c>
      <c r="O47" s="3">
        <f t="shared" si="7"/>
        <v>43845.754988425921</v>
      </c>
      <c r="P47" s="4">
        <f t="shared" si="8"/>
        <v>52</v>
      </c>
    </row>
    <row r="48" spans="1:16" x14ac:dyDescent="0.25">
      <c r="A48" t="s">
        <v>42</v>
      </c>
      <c r="B48" t="s">
        <v>43</v>
      </c>
      <c r="C48">
        <v>555888001</v>
      </c>
      <c r="D48" t="s">
        <v>60</v>
      </c>
      <c r="E48">
        <v>0</v>
      </c>
      <c r="F48">
        <v>5</v>
      </c>
      <c r="H48">
        <v>67258235</v>
      </c>
      <c r="I48">
        <v>19</v>
      </c>
      <c r="J48">
        <v>33</v>
      </c>
      <c r="K48">
        <v>54321</v>
      </c>
      <c r="L48">
        <v>-506870443</v>
      </c>
      <c r="N48" s="1" t="str">
        <f t="shared" si="6"/>
        <v>123.71.2.4</v>
      </c>
      <c r="O48" s="3">
        <f t="shared" si="7"/>
        <v>43845.755243055552</v>
      </c>
      <c r="P48" s="4">
        <f t="shared" si="8"/>
        <v>55</v>
      </c>
    </row>
    <row r="49" spans="1:16" x14ac:dyDescent="0.25">
      <c r="A49" t="s">
        <v>44</v>
      </c>
      <c r="B49" t="s">
        <v>43</v>
      </c>
      <c r="C49">
        <v>555888001</v>
      </c>
      <c r="D49" t="s">
        <v>60</v>
      </c>
      <c r="E49">
        <v>0</v>
      </c>
      <c r="F49">
        <v>5</v>
      </c>
      <c r="H49">
        <v>67258235</v>
      </c>
      <c r="I49">
        <v>19</v>
      </c>
      <c r="J49">
        <v>33</v>
      </c>
      <c r="K49">
        <v>0</v>
      </c>
      <c r="L49">
        <v>-506870443</v>
      </c>
      <c r="N49" s="1" t="str">
        <f t="shared" si="6"/>
        <v>123.71.2.4</v>
      </c>
      <c r="O49" s="3">
        <f t="shared" si="7"/>
        <v>43845.755243055552</v>
      </c>
      <c r="P49" s="4">
        <f t="shared" si="8"/>
        <v>55</v>
      </c>
    </row>
    <row r="50" spans="1:16" x14ac:dyDescent="0.25">
      <c r="A50" t="s">
        <v>46</v>
      </c>
      <c r="B50" t="s">
        <v>43</v>
      </c>
      <c r="C50">
        <v>555888001</v>
      </c>
      <c r="D50" t="s">
        <v>60</v>
      </c>
      <c r="E50">
        <v>0</v>
      </c>
      <c r="F50">
        <v>5</v>
      </c>
      <c r="H50">
        <v>67258235</v>
      </c>
      <c r="I50">
        <v>19</v>
      </c>
      <c r="J50">
        <v>33</v>
      </c>
      <c r="K50">
        <v>0</v>
      </c>
      <c r="L50">
        <v>-506870443</v>
      </c>
      <c r="N50" s="1" t="str">
        <f t="shared" si="6"/>
        <v>123.71.2.4</v>
      </c>
      <c r="O50" s="3">
        <f t="shared" si="7"/>
        <v>43845.755243055552</v>
      </c>
      <c r="P50" s="4">
        <f t="shared" si="8"/>
        <v>55</v>
      </c>
    </row>
    <row r="51" spans="1:16" x14ac:dyDescent="0.25">
      <c r="A51" t="s">
        <v>50</v>
      </c>
      <c r="B51" t="s">
        <v>43</v>
      </c>
      <c r="C51">
        <v>555888001</v>
      </c>
      <c r="D51" t="s">
        <v>60</v>
      </c>
      <c r="E51">
        <v>0</v>
      </c>
      <c r="F51">
        <v>5</v>
      </c>
      <c r="H51">
        <v>67258235</v>
      </c>
      <c r="I51">
        <v>19</v>
      </c>
      <c r="J51">
        <v>33</v>
      </c>
      <c r="K51">
        <v>0</v>
      </c>
      <c r="L51">
        <v>0</v>
      </c>
      <c r="N51" s="1" t="str">
        <f t="shared" si="6"/>
        <v>123.71.2.4</v>
      </c>
      <c r="O51" s="3">
        <f t="shared" si="7"/>
        <v>49712.311296296291</v>
      </c>
      <c r="P51" s="4">
        <f t="shared" si="8"/>
        <v>55</v>
      </c>
    </row>
    <row r="52" spans="1:16" x14ac:dyDescent="0.25">
      <c r="A52" t="s">
        <v>52</v>
      </c>
      <c r="B52" t="s">
        <v>43</v>
      </c>
      <c r="C52">
        <v>555888001</v>
      </c>
      <c r="D52" t="s">
        <v>60</v>
      </c>
      <c r="E52">
        <v>0</v>
      </c>
      <c r="F52">
        <v>5</v>
      </c>
      <c r="H52">
        <v>67258235</v>
      </c>
      <c r="I52">
        <v>19</v>
      </c>
      <c r="J52">
        <v>33</v>
      </c>
      <c r="K52">
        <v>54321</v>
      </c>
      <c r="L52">
        <v>-506870443</v>
      </c>
      <c r="N52" s="1" t="str">
        <f t="shared" si="6"/>
        <v>123.71.2.4</v>
      </c>
      <c r="O52" s="3">
        <f t="shared" si="7"/>
        <v>43845.755243055552</v>
      </c>
      <c r="P52" s="4">
        <f t="shared" si="8"/>
        <v>55</v>
      </c>
    </row>
    <row r="53" spans="1:16" x14ac:dyDescent="0.25">
      <c r="A53" t="s">
        <v>47</v>
      </c>
      <c r="B53" t="s">
        <v>43</v>
      </c>
      <c r="C53">
        <v>555888001</v>
      </c>
      <c r="D53" t="s">
        <v>60</v>
      </c>
      <c r="E53">
        <v>0</v>
      </c>
      <c r="F53">
        <v>5</v>
      </c>
      <c r="H53">
        <v>1533326937</v>
      </c>
      <c r="I53">
        <v>20</v>
      </c>
      <c r="J53">
        <v>33</v>
      </c>
      <c r="K53">
        <v>54321</v>
      </c>
      <c r="L53">
        <v>-506870425</v>
      </c>
      <c r="N53" s="1" t="str">
        <f t="shared" si="6"/>
        <v>89.182.100.91</v>
      </c>
      <c r="O53" s="3">
        <f t="shared" si="7"/>
        <v>43845.755451388883</v>
      </c>
      <c r="P53" s="4">
        <f t="shared" si="8"/>
        <v>55</v>
      </c>
    </row>
    <row r="54" spans="1:16" x14ac:dyDescent="0.25">
      <c r="A54" t="s">
        <v>61</v>
      </c>
      <c r="B54" t="s">
        <v>51</v>
      </c>
      <c r="C54">
        <v>555888001</v>
      </c>
      <c r="D54" t="s">
        <v>60</v>
      </c>
      <c r="E54">
        <v>0</v>
      </c>
      <c r="F54">
        <v>5</v>
      </c>
      <c r="H54">
        <v>1533326937</v>
      </c>
      <c r="I54">
        <v>19</v>
      </c>
      <c r="J54">
        <v>33</v>
      </c>
      <c r="K54">
        <v>0</v>
      </c>
      <c r="L54">
        <v>-506870426</v>
      </c>
      <c r="N54" s="1" t="str">
        <f t="shared" si="6"/>
        <v>89.182.100.91</v>
      </c>
      <c r="O54" s="3">
        <f t="shared" si="7"/>
        <v>43845.755439814813</v>
      </c>
      <c r="P54" s="4">
        <f t="shared" si="8"/>
        <v>55</v>
      </c>
    </row>
    <row r="55" spans="1:16" x14ac:dyDescent="0.25">
      <c r="A55" t="s">
        <v>42</v>
      </c>
      <c r="B55" t="s">
        <v>43</v>
      </c>
      <c r="C55">
        <v>555888001</v>
      </c>
      <c r="D55" t="s">
        <v>62</v>
      </c>
      <c r="E55">
        <v>0</v>
      </c>
      <c r="F55">
        <v>6</v>
      </c>
      <c r="G55" t="s">
        <v>28</v>
      </c>
      <c r="I55">
        <v>19</v>
      </c>
      <c r="J55">
        <v>33</v>
      </c>
      <c r="K55">
        <v>54321</v>
      </c>
      <c r="L55">
        <v>-506870422</v>
      </c>
      <c r="N55" s="1" t="str">
        <f t="shared" si="6"/>
        <v>0.0.0.0</v>
      </c>
      <c r="O55" s="3">
        <f t="shared" si="7"/>
        <v>43845.755486111106</v>
      </c>
      <c r="P55" s="4">
        <f t="shared" si="8"/>
        <v>66</v>
      </c>
    </row>
    <row r="56" spans="1:16" x14ac:dyDescent="0.25">
      <c r="A56" t="s">
        <v>44</v>
      </c>
      <c r="B56" t="s">
        <v>43</v>
      </c>
      <c r="C56">
        <v>555888001</v>
      </c>
      <c r="D56" t="s">
        <v>62</v>
      </c>
      <c r="E56">
        <v>0</v>
      </c>
      <c r="F56">
        <v>6</v>
      </c>
      <c r="G56" t="s">
        <v>28</v>
      </c>
      <c r="H56">
        <v>0</v>
      </c>
      <c r="I56">
        <v>19</v>
      </c>
      <c r="J56">
        <v>33</v>
      </c>
      <c r="K56">
        <v>0</v>
      </c>
      <c r="L56">
        <v>-506870422</v>
      </c>
      <c r="N56" s="1" t="str">
        <f t="shared" si="6"/>
        <v>0.0.0.0</v>
      </c>
      <c r="O56" s="3">
        <f t="shared" si="7"/>
        <v>43845.755486111106</v>
      </c>
      <c r="P56" s="4">
        <f t="shared" si="8"/>
        <v>66</v>
      </c>
    </row>
    <row r="57" spans="1:16" x14ac:dyDescent="0.25">
      <c r="A57" t="s">
        <v>46</v>
      </c>
      <c r="B57" t="s">
        <v>43</v>
      </c>
      <c r="C57">
        <v>555888001</v>
      </c>
      <c r="D57" t="s">
        <v>62</v>
      </c>
      <c r="E57">
        <v>0</v>
      </c>
      <c r="F57">
        <v>6</v>
      </c>
      <c r="G57" t="s">
        <v>28</v>
      </c>
      <c r="H57">
        <v>0</v>
      </c>
      <c r="I57">
        <v>19</v>
      </c>
      <c r="J57">
        <v>33</v>
      </c>
      <c r="K57">
        <v>0</v>
      </c>
      <c r="L57">
        <v>-506870422</v>
      </c>
      <c r="N57" s="1" t="str">
        <f t="shared" si="6"/>
        <v>0.0.0.0</v>
      </c>
      <c r="O57" s="3">
        <f t="shared" si="7"/>
        <v>43845.755486111106</v>
      </c>
      <c r="P57" s="4">
        <f t="shared" si="8"/>
        <v>66</v>
      </c>
    </row>
    <row r="58" spans="1:16" x14ac:dyDescent="0.25">
      <c r="A58" t="s">
        <v>50</v>
      </c>
      <c r="B58" t="s">
        <v>43</v>
      </c>
      <c r="C58">
        <v>555888001</v>
      </c>
      <c r="D58" t="s">
        <v>62</v>
      </c>
      <c r="E58">
        <v>0</v>
      </c>
      <c r="F58">
        <v>6</v>
      </c>
      <c r="G58" t="s">
        <v>28</v>
      </c>
      <c r="I58">
        <v>19</v>
      </c>
      <c r="J58">
        <v>33</v>
      </c>
      <c r="K58">
        <v>0</v>
      </c>
      <c r="L58">
        <v>0</v>
      </c>
      <c r="N58" s="1" t="str">
        <f t="shared" si="6"/>
        <v>0.0.0.0</v>
      </c>
      <c r="O58" s="3">
        <f t="shared" si="7"/>
        <v>49712.311296296291</v>
      </c>
      <c r="P58" s="4">
        <f t="shared" si="8"/>
        <v>66</v>
      </c>
    </row>
    <row r="59" spans="1:16" x14ac:dyDescent="0.25">
      <c r="A59" t="s">
        <v>52</v>
      </c>
      <c r="B59" t="s">
        <v>43</v>
      </c>
      <c r="C59">
        <v>555888001</v>
      </c>
      <c r="D59" t="s">
        <v>62</v>
      </c>
      <c r="E59">
        <v>0</v>
      </c>
      <c r="F59">
        <v>6</v>
      </c>
      <c r="G59" t="s">
        <v>28</v>
      </c>
      <c r="H59">
        <v>0</v>
      </c>
      <c r="I59">
        <v>19</v>
      </c>
      <c r="J59">
        <v>33</v>
      </c>
      <c r="K59">
        <v>54321</v>
      </c>
      <c r="L59">
        <v>-506870422</v>
      </c>
      <c r="N59" s="1" t="str">
        <f t="shared" si="6"/>
        <v>0.0.0.0</v>
      </c>
      <c r="O59" s="3">
        <f t="shared" si="7"/>
        <v>43845.755486111106</v>
      </c>
      <c r="P59" s="4">
        <f t="shared" si="8"/>
        <v>66</v>
      </c>
    </row>
    <row r="60" spans="1:16" x14ac:dyDescent="0.25">
      <c r="A60" t="s">
        <v>47</v>
      </c>
      <c r="B60" t="s">
        <v>110</v>
      </c>
      <c r="C60">
        <v>555888001</v>
      </c>
      <c r="D60" t="s">
        <v>62</v>
      </c>
      <c r="E60">
        <v>0</v>
      </c>
      <c r="F60">
        <v>6</v>
      </c>
      <c r="G60" t="s">
        <v>28</v>
      </c>
      <c r="I60">
        <v>20</v>
      </c>
      <c r="J60">
        <v>33</v>
      </c>
      <c r="K60">
        <v>54321</v>
      </c>
      <c r="L60">
        <v>-506870403</v>
      </c>
      <c r="N60" s="1" t="str">
        <f t="shared" si="6"/>
        <v>0.0.0.0</v>
      </c>
      <c r="O60" s="3">
        <f t="shared" si="7"/>
        <v>43845.755706018514</v>
      </c>
      <c r="P60" s="4">
        <f t="shared" si="8"/>
        <v>66</v>
      </c>
    </row>
    <row r="61" spans="1:16" x14ac:dyDescent="0.25">
      <c r="A61" t="s">
        <v>56</v>
      </c>
      <c r="B61" t="s">
        <v>43</v>
      </c>
      <c r="C61">
        <v>555888001</v>
      </c>
      <c r="D61" t="s">
        <v>62</v>
      </c>
      <c r="E61">
        <v>0</v>
      </c>
      <c r="F61">
        <v>6</v>
      </c>
      <c r="G61" t="s">
        <v>28</v>
      </c>
      <c r="H61">
        <v>0</v>
      </c>
      <c r="I61">
        <v>19</v>
      </c>
      <c r="J61">
        <v>33</v>
      </c>
      <c r="K61">
        <v>0</v>
      </c>
      <c r="L61">
        <v>-506870422</v>
      </c>
      <c r="N61" s="1" t="str">
        <f t="shared" si="6"/>
        <v>0.0.0.0</v>
      </c>
      <c r="O61" s="3">
        <f t="shared" si="7"/>
        <v>43845.755486111106</v>
      </c>
      <c r="P61" s="4">
        <f t="shared" si="8"/>
        <v>66</v>
      </c>
    </row>
    <row r="62" spans="1:16" x14ac:dyDescent="0.25">
      <c r="A62" t="s">
        <v>42</v>
      </c>
      <c r="B62" t="s">
        <v>43</v>
      </c>
      <c r="C62">
        <v>555888001</v>
      </c>
      <c r="D62" t="s">
        <v>63</v>
      </c>
      <c r="E62">
        <v>2</v>
      </c>
      <c r="F62">
        <v>0</v>
      </c>
      <c r="I62">
        <v>19</v>
      </c>
      <c r="J62">
        <v>33</v>
      </c>
      <c r="K62">
        <v>54321</v>
      </c>
      <c r="L62">
        <v>-506870400</v>
      </c>
      <c r="N62" s="1" t="str">
        <f t="shared" si="6"/>
        <v>0.0.0.0</v>
      </c>
      <c r="O62" s="3">
        <f t="shared" si="7"/>
        <v>43845.755740740737</v>
      </c>
      <c r="P62" s="4">
        <f t="shared" si="8"/>
        <v>56</v>
      </c>
    </row>
    <row r="63" spans="1:16" x14ac:dyDescent="0.25">
      <c r="A63" t="s">
        <v>44</v>
      </c>
      <c r="B63" t="s">
        <v>45</v>
      </c>
      <c r="N63" s="1" t="str">
        <f t="shared" si="6"/>
        <v>0.0.0.0</v>
      </c>
      <c r="O63" s="3">
        <f t="shared" si="7"/>
        <v>49712.311296296291</v>
      </c>
      <c r="P63" s="4">
        <f t="shared" si="8"/>
        <v>18</v>
      </c>
    </row>
    <row r="64" spans="1:16" x14ac:dyDescent="0.25">
      <c r="A64" t="s">
        <v>46</v>
      </c>
      <c r="B64" t="s">
        <v>45</v>
      </c>
      <c r="N64" s="1" t="str">
        <f t="shared" si="6"/>
        <v>0.0.0.0</v>
      </c>
      <c r="O64" s="3">
        <f t="shared" si="7"/>
        <v>49712.311296296291</v>
      </c>
      <c r="P64" s="4">
        <f t="shared" si="8"/>
        <v>18</v>
      </c>
    </row>
    <row r="65" spans="1:16" x14ac:dyDescent="0.25">
      <c r="A65" t="s">
        <v>50</v>
      </c>
      <c r="B65" t="s">
        <v>45</v>
      </c>
      <c r="N65" s="1" t="str">
        <f t="shared" si="6"/>
        <v>0.0.0.0</v>
      </c>
      <c r="O65" s="3">
        <f t="shared" si="7"/>
        <v>49712.311296296291</v>
      </c>
      <c r="P65" s="4">
        <f t="shared" si="8"/>
        <v>18</v>
      </c>
    </row>
    <row r="66" spans="1:16" x14ac:dyDescent="0.25">
      <c r="A66" t="s">
        <v>52</v>
      </c>
      <c r="B66" t="s">
        <v>43</v>
      </c>
      <c r="C66">
        <v>555888001</v>
      </c>
      <c r="D66" t="s">
        <v>63</v>
      </c>
      <c r="E66">
        <v>2</v>
      </c>
      <c r="F66">
        <v>0</v>
      </c>
      <c r="H66">
        <v>0</v>
      </c>
      <c r="I66">
        <v>19</v>
      </c>
      <c r="J66">
        <v>33</v>
      </c>
      <c r="K66">
        <v>54321</v>
      </c>
      <c r="L66">
        <v>-506870400</v>
      </c>
      <c r="N66" s="1" t="str">
        <f t="shared" si="6"/>
        <v>0.0.0.0</v>
      </c>
      <c r="O66" s="3">
        <f t="shared" si="7"/>
        <v>43845.755740740737</v>
      </c>
      <c r="P66" s="4">
        <f t="shared" si="8"/>
        <v>56</v>
      </c>
    </row>
    <row r="67" spans="1:16" x14ac:dyDescent="0.25">
      <c r="A67" t="s">
        <v>47</v>
      </c>
      <c r="B67" t="s">
        <v>43</v>
      </c>
      <c r="C67">
        <v>555888001</v>
      </c>
      <c r="D67" t="s">
        <v>49</v>
      </c>
      <c r="E67">
        <v>2</v>
      </c>
      <c r="F67">
        <v>5</v>
      </c>
      <c r="H67">
        <v>1533326937</v>
      </c>
      <c r="I67">
        <v>20</v>
      </c>
      <c r="J67">
        <v>0</v>
      </c>
      <c r="K67">
        <v>54321</v>
      </c>
      <c r="L67">
        <v>-506870381</v>
      </c>
      <c r="N67" s="1" t="str">
        <f t="shared" si="6"/>
        <v>89.182.100.91</v>
      </c>
      <c r="O67" s="3">
        <f t="shared" si="7"/>
        <v>43845.755960648145</v>
      </c>
      <c r="P67" s="4">
        <f t="shared" si="8"/>
        <v>23</v>
      </c>
    </row>
    <row r="68" spans="1:16" x14ac:dyDescent="0.25">
      <c r="A68" t="s">
        <v>48</v>
      </c>
      <c r="B68" t="s">
        <v>53</v>
      </c>
      <c r="C68">
        <v>555888001</v>
      </c>
      <c r="D68" t="s">
        <v>49</v>
      </c>
      <c r="E68">
        <v>2</v>
      </c>
      <c r="F68">
        <v>5</v>
      </c>
      <c r="H68">
        <v>1533326937</v>
      </c>
      <c r="I68">
        <v>20</v>
      </c>
      <c r="J68">
        <v>0</v>
      </c>
      <c r="K68">
        <v>54321</v>
      </c>
      <c r="L68">
        <v>-506870383</v>
      </c>
      <c r="N68" s="1" t="str">
        <f t="shared" si="6"/>
        <v>89.182.100.91</v>
      </c>
      <c r="O68" s="3">
        <f t="shared" si="7"/>
        <v>43845.755937499998</v>
      </c>
      <c r="P68" s="4">
        <f t="shared" si="8"/>
        <v>23</v>
      </c>
    </row>
    <row r="69" spans="1:16" x14ac:dyDescent="0.25">
      <c r="A69" t="s">
        <v>42</v>
      </c>
      <c r="B69" t="s">
        <v>43</v>
      </c>
      <c r="C69">
        <v>555888001</v>
      </c>
      <c r="D69" t="s">
        <v>64</v>
      </c>
      <c r="E69">
        <v>2</v>
      </c>
      <c r="F69">
        <v>1</v>
      </c>
      <c r="G69" t="s">
        <v>28</v>
      </c>
      <c r="I69">
        <v>19</v>
      </c>
      <c r="J69">
        <v>33</v>
      </c>
      <c r="K69">
        <v>54321</v>
      </c>
      <c r="L69">
        <v>-506870371</v>
      </c>
      <c r="N69" s="1" t="str">
        <f t="shared" si="6"/>
        <v>0.0.0.0</v>
      </c>
      <c r="O69" s="3">
        <f t="shared" si="7"/>
        <v>43845.756076388883</v>
      </c>
      <c r="P69" s="4">
        <f t="shared" si="8"/>
        <v>71</v>
      </c>
    </row>
    <row r="70" spans="1:16" x14ac:dyDescent="0.25">
      <c r="A70" t="s">
        <v>44</v>
      </c>
      <c r="B70" t="s">
        <v>45</v>
      </c>
      <c r="N70" s="1" t="str">
        <f t="shared" si="6"/>
        <v>0.0.0.0</v>
      </c>
      <c r="O70" s="3">
        <f t="shared" si="7"/>
        <v>49712.311296296291</v>
      </c>
      <c r="P70" s="4">
        <f t="shared" si="8"/>
        <v>18</v>
      </c>
    </row>
    <row r="71" spans="1:16" x14ac:dyDescent="0.25">
      <c r="A71" t="s">
        <v>46</v>
      </c>
      <c r="B71" t="s">
        <v>45</v>
      </c>
      <c r="N71" s="1" t="str">
        <f t="shared" si="6"/>
        <v>0.0.0.0</v>
      </c>
      <c r="O71" s="3">
        <f t="shared" si="7"/>
        <v>49712.311296296291</v>
      </c>
      <c r="P71" s="4">
        <f t="shared" si="8"/>
        <v>18</v>
      </c>
    </row>
    <row r="72" spans="1:16" x14ac:dyDescent="0.25">
      <c r="A72" t="s">
        <v>50</v>
      </c>
      <c r="B72" t="s">
        <v>45</v>
      </c>
      <c r="N72" s="1" t="str">
        <f t="shared" si="6"/>
        <v>0.0.0.0</v>
      </c>
      <c r="O72" s="3">
        <f t="shared" si="7"/>
        <v>49712.311296296291</v>
      </c>
      <c r="P72" s="4">
        <f t="shared" si="8"/>
        <v>18</v>
      </c>
    </row>
    <row r="73" spans="1:16" x14ac:dyDescent="0.25">
      <c r="A73" t="s">
        <v>52</v>
      </c>
      <c r="B73" t="s">
        <v>43</v>
      </c>
      <c r="C73">
        <v>555888001</v>
      </c>
      <c r="D73" t="s">
        <v>64</v>
      </c>
      <c r="E73">
        <v>2</v>
      </c>
      <c r="F73">
        <v>1</v>
      </c>
      <c r="G73" t="s">
        <v>28</v>
      </c>
      <c r="H73">
        <v>0</v>
      </c>
      <c r="I73">
        <v>19</v>
      </c>
      <c r="J73">
        <v>33</v>
      </c>
      <c r="K73">
        <v>54321</v>
      </c>
      <c r="L73">
        <v>-506870371</v>
      </c>
      <c r="N73" s="1" t="str">
        <f t="shared" si="6"/>
        <v>0.0.0.0</v>
      </c>
      <c r="O73" s="3">
        <f t="shared" si="7"/>
        <v>43845.756076388883</v>
      </c>
      <c r="P73" s="4">
        <f t="shared" si="8"/>
        <v>71</v>
      </c>
    </row>
    <row r="74" spans="1:16" x14ac:dyDescent="0.25">
      <c r="A74" t="s">
        <v>47</v>
      </c>
      <c r="B74" t="s">
        <v>110</v>
      </c>
      <c r="C74">
        <v>555888001</v>
      </c>
      <c r="D74" t="s">
        <v>64</v>
      </c>
      <c r="E74">
        <v>2</v>
      </c>
      <c r="F74">
        <v>1</v>
      </c>
      <c r="G74" t="s">
        <v>28</v>
      </c>
      <c r="I74">
        <v>20</v>
      </c>
      <c r="J74">
        <v>33</v>
      </c>
      <c r="K74">
        <v>54321</v>
      </c>
      <c r="L74">
        <v>-506870353</v>
      </c>
      <c r="N74" s="1" t="str">
        <f t="shared" si="6"/>
        <v>0.0.0.0</v>
      </c>
      <c r="O74" s="3">
        <f t="shared" si="7"/>
        <v>43845.756284722214</v>
      </c>
      <c r="P74" s="4">
        <f t="shared" si="8"/>
        <v>71</v>
      </c>
    </row>
    <row r="75" spans="1:16" x14ac:dyDescent="0.25">
      <c r="A75" t="s">
        <v>56</v>
      </c>
      <c r="B75" t="s">
        <v>45</v>
      </c>
      <c r="N75" s="1" t="str">
        <f t="shared" si="6"/>
        <v>0.0.0.0</v>
      </c>
      <c r="O75" s="3">
        <f t="shared" si="7"/>
        <v>49712.311296296291</v>
      </c>
      <c r="P75" s="4">
        <f t="shared" si="8"/>
        <v>18</v>
      </c>
    </row>
    <row r="76" spans="1:16" x14ac:dyDescent="0.25">
      <c r="A76" t="s">
        <v>42</v>
      </c>
      <c r="B76" t="s">
        <v>43</v>
      </c>
      <c r="C76">
        <v>555888001</v>
      </c>
      <c r="D76" t="s">
        <v>65</v>
      </c>
      <c r="E76">
        <v>2</v>
      </c>
      <c r="F76">
        <v>2</v>
      </c>
      <c r="H76">
        <v>67258235</v>
      </c>
      <c r="I76">
        <v>19</v>
      </c>
      <c r="J76">
        <v>33</v>
      </c>
      <c r="K76">
        <v>54321</v>
      </c>
      <c r="L76">
        <v>-506870349</v>
      </c>
      <c r="N76" s="1" t="str">
        <f t="shared" si="6"/>
        <v>123.71.2.4</v>
      </c>
      <c r="O76" s="3">
        <f t="shared" si="7"/>
        <v>43845.756331018514</v>
      </c>
      <c r="P76" s="4">
        <f t="shared" si="8"/>
        <v>60</v>
      </c>
    </row>
    <row r="77" spans="1:16" x14ac:dyDescent="0.25">
      <c r="A77" t="s">
        <v>44</v>
      </c>
      <c r="B77" t="s">
        <v>45</v>
      </c>
      <c r="N77" s="1" t="str">
        <f t="shared" si="6"/>
        <v>0.0.0.0</v>
      </c>
      <c r="O77" s="3">
        <f t="shared" si="7"/>
        <v>49712.311296296291</v>
      </c>
      <c r="P77" s="4">
        <f t="shared" si="8"/>
        <v>18</v>
      </c>
    </row>
    <row r="78" spans="1:16" x14ac:dyDescent="0.25">
      <c r="A78" t="s">
        <v>46</v>
      </c>
      <c r="B78" t="s">
        <v>45</v>
      </c>
      <c r="N78" s="1" t="str">
        <f t="shared" si="6"/>
        <v>0.0.0.0</v>
      </c>
      <c r="O78" s="3">
        <f t="shared" si="7"/>
        <v>49712.311296296291</v>
      </c>
      <c r="P78" s="4">
        <f t="shared" si="8"/>
        <v>18</v>
      </c>
    </row>
    <row r="79" spans="1:16" x14ac:dyDescent="0.25">
      <c r="A79" t="s">
        <v>50</v>
      </c>
      <c r="B79" t="s">
        <v>45</v>
      </c>
      <c r="N79" s="1" t="str">
        <f t="shared" si="6"/>
        <v>0.0.0.0</v>
      </c>
      <c r="O79" s="3">
        <f t="shared" si="7"/>
        <v>49712.311296296291</v>
      </c>
      <c r="P79" s="4">
        <f t="shared" si="8"/>
        <v>18</v>
      </c>
    </row>
    <row r="80" spans="1:16" x14ac:dyDescent="0.25">
      <c r="A80" t="s">
        <v>52</v>
      </c>
      <c r="B80" t="s">
        <v>43</v>
      </c>
      <c r="C80">
        <v>555888001</v>
      </c>
      <c r="D80" t="s">
        <v>65</v>
      </c>
      <c r="E80">
        <v>2</v>
      </c>
      <c r="F80">
        <v>2</v>
      </c>
      <c r="H80">
        <v>67258235</v>
      </c>
      <c r="I80">
        <v>19</v>
      </c>
      <c r="J80">
        <v>33</v>
      </c>
      <c r="K80">
        <v>54321</v>
      </c>
      <c r="L80">
        <v>-506870349</v>
      </c>
      <c r="N80" s="1" t="str">
        <f t="shared" si="6"/>
        <v>123.71.2.4</v>
      </c>
      <c r="O80" s="3">
        <f t="shared" si="7"/>
        <v>43845.756331018514</v>
      </c>
      <c r="P80" s="4">
        <f t="shared" si="8"/>
        <v>60</v>
      </c>
    </row>
    <row r="81" spans="1:16" x14ac:dyDescent="0.25">
      <c r="A81" t="s">
        <v>47</v>
      </c>
      <c r="B81" t="s">
        <v>110</v>
      </c>
      <c r="C81">
        <v>555888001</v>
      </c>
      <c r="D81" t="s">
        <v>65</v>
      </c>
      <c r="E81">
        <v>2</v>
      </c>
      <c r="F81">
        <v>2</v>
      </c>
      <c r="H81">
        <v>67258235</v>
      </c>
      <c r="I81">
        <v>20</v>
      </c>
      <c r="J81">
        <v>33</v>
      </c>
      <c r="K81">
        <v>54321</v>
      </c>
      <c r="L81">
        <v>-506870330</v>
      </c>
      <c r="N81" s="1" t="str">
        <f t="shared" si="6"/>
        <v>123.71.2.4</v>
      </c>
      <c r="O81" s="3">
        <f t="shared" si="7"/>
        <v>43845.756550925922</v>
      </c>
      <c r="P81" s="4">
        <f t="shared" si="8"/>
        <v>60</v>
      </c>
    </row>
    <row r="82" spans="1:16" x14ac:dyDescent="0.25">
      <c r="A82" t="s">
        <v>56</v>
      </c>
      <c r="B82" t="s">
        <v>45</v>
      </c>
      <c r="N82" s="1" t="str">
        <f t="shared" si="6"/>
        <v>0.0.0.0</v>
      </c>
      <c r="O82" s="3">
        <f t="shared" si="7"/>
        <v>49712.311296296291</v>
      </c>
      <c r="P82" s="4">
        <f t="shared" si="8"/>
        <v>18</v>
      </c>
    </row>
    <row r="83" spans="1:16" x14ac:dyDescent="0.25">
      <c r="A83" t="s">
        <v>42</v>
      </c>
      <c r="B83" t="s">
        <v>43</v>
      </c>
      <c r="C83">
        <v>555888001</v>
      </c>
      <c r="D83" t="s">
        <v>66</v>
      </c>
      <c r="E83">
        <v>2</v>
      </c>
      <c r="F83">
        <v>3</v>
      </c>
      <c r="G83" t="s">
        <v>28</v>
      </c>
      <c r="I83">
        <v>19</v>
      </c>
      <c r="J83">
        <v>33</v>
      </c>
      <c r="K83">
        <v>54321</v>
      </c>
      <c r="L83">
        <v>-506870327</v>
      </c>
      <c r="N83" s="1" t="str">
        <f t="shared" si="6"/>
        <v>0.0.0.0</v>
      </c>
      <c r="O83" s="3">
        <f t="shared" si="7"/>
        <v>43845.756585648145</v>
      </c>
      <c r="P83" s="4">
        <f t="shared" si="8"/>
        <v>60</v>
      </c>
    </row>
    <row r="84" spans="1:16" x14ac:dyDescent="0.25">
      <c r="A84" t="s">
        <v>44</v>
      </c>
      <c r="B84" t="s">
        <v>45</v>
      </c>
      <c r="N84" s="1" t="str">
        <f t="shared" si="6"/>
        <v>0.0.0.0</v>
      </c>
      <c r="O84" s="3">
        <f t="shared" si="7"/>
        <v>49712.311296296291</v>
      </c>
      <c r="P84" s="4">
        <f t="shared" si="8"/>
        <v>18</v>
      </c>
    </row>
    <row r="85" spans="1:16" x14ac:dyDescent="0.25">
      <c r="A85" t="s">
        <v>46</v>
      </c>
      <c r="B85" t="s">
        <v>45</v>
      </c>
      <c r="N85" s="1" t="str">
        <f t="shared" si="6"/>
        <v>0.0.0.0</v>
      </c>
      <c r="O85" s="3">
        <f t="shared" si="7"/>
        <v>49712.311296296291</v>
      </c>
      <c r="P85" s="4">
        <f t="shared" si="8"/>
        <v>18</v>
      </c>
    </row>
    <row r="86" spans="1:16" x14ac:dyDescent="0.25">
      <c r="A86" t="s">
        <v>50</v>
      </c>
      <c r="B86" t="s">
        <v>45</v>
      </c>
      <c r="N86" s="1" t="str">
        <f t="shared" si="6"/>
        <v>0.0.0.0</v>
      </c>
      <c r="O86" s="3">
        <f t="shared" si="7"/>
        <v>49712.311296296291</v>
      </c>
      <c r="P86" s="4">
        <f t="shared" si="8"/>
        <v>18</v>
      </c>
    </row>
    <row r="87" spans="1:16" x14ac:dyDescent="0.25">
      <c r="A87" t="s">
        <v>52</v>
      </c>
      <c r="B87" t="s">
        <v>43</v>
      </c>
      <c r="C87">
        <v>555888001</v>
      </c>
      <c r="D87" t="s">
        <v>66</v>
      </c>
      <c r="E87">
        <v>2</v>
      </c>
      <c r="F87">
        <v>3</v>
      </c>
      <c r="G87" t="s">
        <v>28</v>
      </c>
      <c r="H87">
        <v>0</v>
      </c>
      <c r="I87">
        <v>19</v>
      </c>
      <c r="J87">
        <v>33</v>
      </c>
      <c r="K87">
        <v>54321</v>
      </c>
      <c r="L87">
        <v>-506870327</v>
      </c>
      <c r="N87" s="1" t="str">
        <f t="shared" si="6"/>
        <v>0.0.0.0</v>
      </c>
      <c r="O87" s="3">
        <f t="shared" si="7"/>
        <v>43845.756585648145</v>
      </c>
      <c r="P87" s="4">
        <f t="shared" si="8"/>
        <v>60</v>
      </c>
    </row>
    <row r="88" spans="1:16" x14ac:dyDescent="0.25">
      <c r="A88" t="s">
        <v>47</v>
      </c>
      <c r="B88" t="s">
        <v>110</v>
      </c>
      <c r="C88">
        <v>555888001</v>
      </c>
      <c r="D88" t="s">
        <v>66</v>
      </c>
      <c r="E88">
        <v>2</v>
      </c>
      <c r="F88">
        <v>3</v>
      </c>
      <c r="G88" t="s">
        <v>28</v>
      </c>
      <c r="I88">
        <v>20</v>
      </c>
      <c r="J88">
        <v>33</v>
      </c>
      <c r="K88">
        <v>54321</v>
      </c>
      <c r="L88">
        <v>-506870308</v>
      </c>
      <c r="N88" s="1" t="str">
        <f t="shared" si="6"/>
        <v>0.0.0.0</v>
      </c>
      <c r="O88" s="3">
        <f t="shared" si="7"/>
        <v>43845.756805555553</v>
      </c>
      <c r="P88" s="4">
        <f t="shared" si="8"/>
        <v>60</v>
      </c>
    </row>
    <row r="89" spans="1:16" x14ac:dyDescent="0.25">
      <c r="A89" t="s">
        <v>56</v>
      </c>
      <c r="B89" t="s">
        <v>45</v>
      </c>
      <c r="N89" s="1" t="str">
        <f t="shared" si="6"/>
        <v>0.0.0.0</v>
      </c>
      <c r="O89" s="3">
        <f t="shared" si="7"/>
        <v>49712.311296296291</v>
      </c>
      <c r="P89" s="4">
        <f t="shared" si="8"/>
        <v>18</v>
      </c>
    </row>
    <row r="90" spans="1:16" x14ac:dyDescent="0.25">
      <c r="A90" t="s">
        <v>42</v>
      </c>
      <c r="B90" t="s">
        <v>43</v>
      </c>
      <c r="C90">
        <v>555888001</v>
      </c>
      <c r="D90" t="s">
        <v>67</v>
      </c>
      <c r="E90">
        <v>2</v>
      </c>
      <c r="F90">
        <v>4</v>
      </c>
      <c r="H90">
        <v>67258235</v>
      </c>
      <c r="I90">
        <v>19</v>
      </c>
      <c r="J90">
        <v>33</v>
      </c>
      <c r="K90">
        <v>54321</v>
      </c>
      <c r="L90">
        <v>-506870305</v>
      </c>
      <c r="N90" s="1" t="str">
        <f t="shared" si="6"/>
        <v>123.71.2.4</v>
      </c>
      <c r="O90" s="3">
        <f t="shared" si="7"/>
        <v>43845.756840277776</v>
      </c>
      <c r="P90" s="4">
        <f t="shared" si="8"/>
        <v>57</v>
      </c>
    </row>
    <row r="91" spans="1:16" x14ac:dyDescent="0.25">
      <c r="A91" t="s">
        <v>44</v>
      </c>
      <c r="B91" t="s">
        <v>45</v>
      </c>
      <c r="N91" s="1" t="str">
        <f t="shared" si="6"/>
        <v>0.0.0.0</v>
      </c>
      <c r="O91" s="3">
        <f t="shared" si="7"/>
        <v>49712.311296296291</v>
      </c>
      <c r="P91" s="4">
        <f t="shared" si="8"/>
        <v>18</v>
      </c>
    </row>
    <row r="92" spans="1:16" x14ac:dyDescent="0.25">
      <c r="A92" t="s">
        <v>46</v>
      </c>
      <c r="B92" t="s">
        <v>45</v>
      </c>
      <c r="N92" s="1" t="str">
        <f t="shared" si="6"/>
        <v>0.0.0.0</v>
      </c>
      <c r="O92" s="3">
        <f t="shared" si="7"/>
        <v>49712.311296296291</v>
      </c>
      <c r="P92" s="4">
        <f t="shared" si="8"/>
        <v>18</v>
      </c>
    </row>
    <row r="93" spans="1:16" x14ac:dyDescent="0.25">
      <c r="A93" t="s">
        <v>50</v>
      </c>
      <c r="B93" t="s">
        <v>45</v>
      </c>
      <c r="N93" s="1" t="str">
        <f t="shared" si="6"/>
        <v>0.0.0.0</v>
      </c>
      <c r="O93" s="3">
        <f t="shared" si="7"/>
        <v>49712.311296296291</v>
      </c>
      <c r="P93" s="4">
        <f t="shared" si="8"/>
        <v>18</v>
      </c>
    </row>
    <row r="94" spans="1:16" x14ac:dyDescent="0.25">
      <c r="A94" t="s">
        <v>52</v>
      </c>
      <c r="B94" t="s">
        <v>43</v>
      </c>
      <c r="C94">
        <v>555888001</v>
      </c>
      <c r="D94" t="s">
        <v>67</v>
      </c>
      <c r="E94">
        <v>2</v>
      </c>
      <c r="F94">
        <v>4</v>
      </c>
      <c r="H94">
        <v>67258235</v>
      </c>
      <c r="I94">
        <v>19</v>
      </c>
      <c r="J94">
        <v>33</v>
      </c>
      <c r="K94">
        <v>54321</v>
      </c>
      <c r="L94">
        <v>-506870305</v>
      </c>
      <c r="N94" s="1" t="str">
        <f t="shared" si="6"/>
        <v>123.71.2.4</v>
      </c>
      <c r="O94" s="3">
        <f t="shared" si="7"/>
        <v>43845.756840277776</v>
      </c>
      <c r="P94" s="4">
        <f t="shared" si="8"/>
        <v>57</v>
      </c>
    </row>
    <row r="95" spans="1:16" x14ac:dyDescent="0.25">
      <c r="A95" t="s">
        <v>47</v>
      </c>
      <c r="B95" t="s">
        <v>110</v>
      </c>
      <c r="C95">
        <v>555888001</v>
      </c>
      <c r="D95" t="s">
        <v>67</v>
      </c>
      <c r="E95">
        <v>2</v>
      </c>
      <c r="F95">
        <v>4</v>
      </c>
      <c r="H95">
        <v>67258235</v>
      </c>
      <c r="I95">
        <v>20</v>
      </c>
      <c r="J95">
        <v>33</v>
      </c>
      <c r="K95">
        <v>54321</v>
      </c>
      <c r="L95">
        <v>-506870286</v>
      </c>
      <c r="N95" s="1" t="str">
        <f t="shared" si="6"/>
        <v>123.71.2.4</v>
      </c>
      <c r="O95" s="3">
        <f t="shared" si="7"/>
        <v>43845.757060185184</v>
      </c>
      <c r="P95" s="4">
        <f t="shared" si="8"/>
        <v>57</v>
      </c>
    </row>
    <row r="96" spans="1:16" x14ac:dyDescent="0.25">
      <c r="A96" t="s">
        <v>56</v>
      </c>
      <c r="B96" t="s">
        <v>45</v>
      </c>
      <c r="N96" s="1" t="str">
        <f t="shared" si="6"/>
        <v>0.0.0.0</v>
      </c>
      <c r="O96" s="3">
        <f t="shared" si="7"/>
        <v>49712.311296296291</v>
      </c>
      <c r="P96" s="4">
        <f t="shared" si="8"/>
        <v>18</v>
      </c>
    </row>
    <row r="97" spans="1:16" x14ac:dyDescent="0.25">
      <c r="A97" t="s">
        <v>42</v>
      </c>
      <c r="B97" t="s">
        <v>43</v>
      </c>
      <c r="C97">
        <v>555888001</v>
      </c>
      <c r="D97" t="s">
        <v>68</v>
      </c>
      <c r="E97">
        <v>2</v>
      </c>
      <c r="F97">
        <v>5</v>
      </c>
      <c r="H97">
        <v>67258235</v>
      </c>
      <c r="I97">
        <v>19</v>
      </c>
      <c r="J97">
        <v>33</v>
      </c>
      <c r="K97">
        <v>54321</v>
      </c>
      <c r="L97">
        <v>-506870283</v>
      </c>
      <c r="N97" s="1" t="str">
        <f t="shared" si="6"/>
        <v>123.71.2.4</v>
      </c>
      <c r="O97" s="3">
        <f t="shared" si="7"/>
        <v>43845.7570949074</v>
      </c>
      <c r="P97" s="4">
        <f t="shared" si="8"/>
        <v>60</v>
      </c>
    </row>
    <row r="98" spans="1:16" x14ac:dyDescent="0.25">
      <c r="A98" t="s">
        <v>44</v>
      </c>
      <c r="B98" t="s">
        <v>45</v>
      </c>
      <c r="N98" s="1" t="str">
        <f t="shared" ref="N98:N113" si="9">ip_to_string(H98)</f>
        <v>0.0.0.0</v>
      </c>
      <c r="O98" s="3">
        <f t="shared" ref="O98:O113" si="10">(2^32+L98)*TIME(0,0,1)+2+TIME($O$5,0,0)</f>
        <v>49712.311296296291</v>
      </c>
      <c r="P98" s="4">
        <f t="shared" ref="P98:P113" si="11" xml:space="preserve"> 4 + 1 + 2 + 1 + LEN(D98)+1 + 4 + IF(OR(F98=1,F98=4,F98=6),LEN(G98)+1,0) + IF(OR(F98=2,F98=3,F98=5),4,0) + 5</f>
        <v>18</v>
      </c>
    </row>
    <row r="99" spans="1:16" x14ac:dyDescent="0.25">
      <c r="A99" t="s">
        <v>46</v>
      </c>
      <c r="B99" t="s">
        <v>45</v>
      </c>
      <c r="N99" s="1" t="str">
        <f t="shared" si="9"/>
        <v>0.0.0.0</v>
      </c>
      <c r="O99" s="3">
        <f t="shared" si="10"/>
        <v>49712.311296296291</v>
      </c>
      <c r="P99" s="4">
        <f t="shared" si="11"/>
        <v>18</v>
      </c>
    </row>
    <row r="100" spans="1:16" x14ac:dyDescent="0.25">
      <c r="A100" t="s">
        <v>50</v>
      </c>
      <c r="B100" t="s">
        <v>45</v>
      </c>
      <c r="N100" s="1" t="str">
        <f t="shared" si="9"/>
        <v>0.0.0.0</v>
      </c>
      <c r="O100" s="3">
        <f t="shared" si="10"/>
        <v>49712.311296296291</v>
      </c>
      <c r="P100" s="4">
        <f t="shared" si="11"/>
        <v>18</v>
      </c>
    </row>
    <row r="101" spans="1:16" x14ac:dyDescent="0.25">
      <c r="A101" t="s">
        <v>52</v>
      </c>
      <c r="B101" t="s">
        <v>43</v>
      </c>
      <c r="C101">
        <v>555888001</v>
      </c>
      <c r="D101" t="s">
        <v>68</v>
      </c>
      <c r="E101">
        <v>2</v>
      </c>
      <c r="F101">
        <v>5</v>
      </c>
      <c r="H101">
        <v>67258235</v>
      </c>
      <c r="I101">
        <v>19</v>
      </c>
      <c r="J101">
        <v>33</v>
      </c>
      <c r="K101">
        <v>54321</v>
      </c>
      <c r="L101">
        <v>-506870283</v>
      </c>
      <c r="N101" s="1" t="str">
        <f t="shared" si="9"/>
        <v>123.71.2.4</v>
      </c>
      <c r="O101" s="3">
        <f t="shared" si="10"/>
        <v>43845.7570949074</v>
      </c>
      <c r="P101" s="4">
        <f t="shared" si="11"/>
        <v>60</v>
      </c>
    </row>
    <row r="102" spans="1:16" x14ac:dyDescent="0.25">
      <c r="A102" t="s">
        <v>47</v>
      </c>
      <c r="B102" t="s">
        <v>55</v>
      </c>
      <c r="C102">
        <v>555888001</v>
      </c>
      <c r="D102" t="s">
        <v>68</v>
      </c>
      <c r="E102">
        <v>2</v>
      </c>
      <c r="F102">
        <v>5</v>
      </c>
      <c r="H102">
        <v>1533326937</v>
      </c>
      <c r="I102">
        <v>20</v>
      </c>
      <c r="J102">
        <v>33</v>
      </c>
      <c r="K102">
        <v>54321</v>
      </c>
      <c r="L102">
        <v>-506870264</v>
      </c>
      <c r="N102" s="1" t="str">
        <f t="shared" si="9"/>
        <v>89.182.100.91</v>
      </c>
      <c r="O102" s="3">
        <f t="shared" si="10"/>
        <v>43845.757314814808</v>
      </c>
      <c r="P102" s="4">
        <f t="shared" si="11"/>
        <v>60</v>
      </c>
    </row>
    <row r="103" spans="1:16" x14ac:dyDescent="0.25">
      <c r="A103" t="s">
        <v>56</v>
      </c>
      <c r="B103" t="s">
        <v>45</v>
      </c>
      <c r="N103" s="1" t="str">
        <f t="shared" si="9"/>
        <v>0.0.0.0</v>
      </c>
      <c r="O103" s="3">
        <f t="shared" si="10"/>
        <v>49712.311296296291</v>
      </c>
      <c r="P103" s="4">
        <f t="shared" si="11"/>
        <v>18</v>
      </c>
    </row>
    <row r="104" spans="1:16" x14ac:dyDescent="0.25">
      <c r="A104" t="s">
        <v>42</v>
      </c>
      <c r="B104" t="s">
        <v>43</v>
      </c>
      <c r="C104">
        <v>555888001</v>
      </c>
      <c r="D104" t="s">
        <v>69</v>
      </c>
      <c r="E104">
        <v>2</v>
      </c>
      <c r="F104">
        <v>6</v>
      </c>
      <c r="G104" t="s">
        <v>28</v>
      </c>
      <c r="I104">
        <v>19</v>
      </c>
      <c r="J104">
        <v>33</v>
      </c>
      <c r="K104">
        <v>54321</v>
      </c>
      <c r="L104">
        <v>-506870261</v>
      </c>
      <c r="N104" s="1" t="str">
        <f t="shared" si="9"/>
        <v>0.0.0.0</v>
      </c>
      <c r="O104" s="3">
        <f t="shared" si="10"/>
        <v>43845.757349537031</v>
      </c>
      <c r="P104" s="4">
        <f t="shared" si="11"/>
        <v>71</v>
      </c>
    </row>
    <row r="105" spans="1:16" x14ac:dyDescent="0.25">
      <c r="A105" t="s">
        <v>44</v>
      </c>
      <c r="B105" t="s">
        <v>45</v>
      </c>
      <c r="N105" s="1" t="str">
        <f t="shared" si="9"/>
        <v>0.0.0.0</v>
      </c>
      <c r="O105" s="3">
        <f t="shared" si="10"/>
        <v>49712.311296296291</v>
      </c>
      <c r="P105" s="4">
        <f t="shared" si="11"/>
        <v>18</v>
      </c>
    </row>
    <row r="106" spans="1:16" x14ac:dyDescent="0.25">
      <c r="A106" t="s">
        <v>46</v>
      </c>
      <c r="B106" t="s">
        <v>45</v>
      </c>
      <c r="N106" s="1" t="str">
        <f t="shared" si="9"/>
        <v>0.0.0.0</v>
      </c>
      <c r="O106" s="3">
        <f t="shared" si="10"/>
        <v>49712.311296296291</v>
      </c>
      <c r="P106" s="4">
        <f t="shared" si="11"/>
        <v>18</v>
      </c>
    </row>
    <row r="107" spans="1:16" x14ac:dyDescent="0.25">
      <c r="A107" t="s">
        <v>50</v>
      </c>
      <c r="B107" t="s">
        <v>45</v>
      </c>
      <c r="N107" s="1" t="str">
        <f t="shared" si="9"/>
        <v>0.0.0.0</v>
      </c>
      <c r="O107" s="3">
        <f t="shared" si="10"/>
        <v>49712.311296296291</v>
      </c>
      <c r="P107" s="4">
        <f t="shared" si="11"/>
        <v>18</v>
      </c>
    </row>
    <row r="108" spans="1:16" x14ac:dyDescent="0.25">
      <c r="A108" t="s">
        <v>52</v>
      </c>
      <c r="B108" t="s">
        <v>43</v>
      </c>
      <c r="C108">
        <v>555888001</v>
      </c>
      <c r="D108" t="s">
        <v>69</v>
      </c>
      <c r="E108">
        <v>2</v>
      </c>
      <c r="F108">
        <v>6</v>
      </c>
      <c r="G108" t="s">
        <v>28</v>
      </c>
      <c r="H108">
        <v>0</v>
      </c>
      <c r="I108">
        <v>19</v>
      </c>
      <c r="J108">
        <v>33</v>
      </c>
      <c r="K108">
        <v>54321</v>
      </c>
      <c r="L108">
        <v>-506870261</v>
      </c>
      <c r="N108" s="1" t="str">
        <f t="shared" si="9"/>
        <v>0.0.0.0</v>
      </c>
      <c r="O108" s="3">
        <f t="shared" si="10"/>
        <v>43845.757349537031</v>
      </c>
      <c r="P108" s="4">
        <f t="shared" si="11"/>
        <v>71</v>
      </c>
    </row>
    <row r="109" spans="1:16" x14ac:dyDescent="0.25">
      <c r="A109" t="s">
        <v>47</v>
      </c>
      <c r="B109" t="s">
        <v>110</v>
      </c>
      <c r="C109">
        <v>555888001</v>
      </c>
      <c r="D109" t="s">
        <v>69</v>
      </c>
      <c r="E109">
        <v>2</v>
      </c>
      <c r="F109">
        <v>6</v>
      </c>
      <c r="G109" t="s">
        <v>28</v>
      </c>
      <c r="I109">
        <v>20</v>
      </c>
      <c r="J109">
        <v>33</v>
      </c>
      <c r="K109">
        <v>54321</v>
      </c>
      <c r="L109">
        <v>-506870230</v>
      </c>
      <c r="N109" s="1" t="str">
        <f t="shared" si="9"/>
        <v>0.0.0.0</v>
      </c>
      <c r="O109" s="3">
        <f t="shared" si="10"/>
        <v>43845.757708333331</v>
      </c>
      <c r="P109" s="4">
        <f t="shared" si="11"/>
        <v>71</v>
      </c>
    </row>
    <row r="110" spans="1:16" x14ac:dyDescent="0.25">
      <c r="A110" t="s">
        <v>56</v>
      </c>
      <c r="B110" t="s">
        <v>45</v>
      </c>
      <c r="N110" s="1" t="str">
        <f t="shared" si="9"/>
        <v>0.0.0.0</v>
      </c>
      <c r="O110" s="3">
        <f t="shared" si="10"/>
        <v>49712.311296296291</v>
      </c>
      <c r="P110" s="4">
        <f t="shared" si="11"/>
        <v>18</v>
      </c>
    </row>
    <row r="111" spans="1:16" x14ac:dyDescent="0.25">
      <c r="A111" t="s">
        <v>71</v>
      </c>
      <c r="B111" t="s">
        <v>43</v>
      </c>
      <c r="C111">
        <v>555888001</v>
      </c>
      <c r="D111" t="s">
        <v>70</v>
      </c>
      <c r="E111">
        <v>0</v>
      </c>
      <c r="F111">
        <v>2</v>
      </c>
      <c r="H111">
        <v>67258235</v>
      </c>
      <c r="I111">
        <v>19</v>
      </c>
      <c r="J111">
        <v>0</v>
      </c>
      <c r="K111">
        <v>54321</v>
      </c>
      <c r="L111">
        <v>-506870227</v>
      </c>
      <c r="N111" s="1" t="str">
        <f t="shared" si="9"/>
        <v>123.71.2.4</v>
      </c>
      <c r="O111" s="3">
        <f t="shared" si="10"/>
        <v>43845.757743055554</v>
      </c>
      <c r="P111" s="4">
        <f t="shared" si="11"/>
        <v>57</v>
      </c>
    </row>
    <row r="112" spans="1:16" x14ac:dyDescent="0.25">
      <c r="A112" t="s">
        <v>72</v>
      </c>
      <c r="B112" t="s">
        <v>43</v>
      </c>
      <c r="C112">
        <v>555888001</v>
      </c>
      <c r="D112" t="s">
        <v>70</v>
      </c>
      <c r="E112">
        <v>0</v>
      </c>
      <c r="F112">
        <v>2</v>
      </c>
      <c r="H112">
        <v>67258235</v>
      </c>
      <c r="I112">
        <v>19</v>
      </c>
      <c r="J112">
        <v>0</v>
      </c>
      <c r="K112">
        <v>0</v>
      </c>
      <c r="L112">
        <v>-506870227</v>
      </c>
      <c r="N112" s="1" t="str">
        <f t="shared" si="9"/>
        <v>123.71.2.4</v>
      </c>
      <c r="O112" s="3">
        <f t="shared" si="10"/>
        <v>43845.757743055554</v>
      </c>
      <c r="P112" s="4">
        <f t="shared" si="11"/>
        <v>57</v>
      </c>
    </row>
    <row r="113" spans="1:16" x14ac:dyDescent="0.25">
      <c r="A113" t="s">
        <v>73</v>
      </c>
      <c r="B113" t="s">
        <v>43</v>
      </c>
      <c r="C113">
        <v>555888001</v>
      </c>
      <c r="D113" t="s">
        <v>70</v>
      </c>
      <c r="E113">
        <v>0</v>
      </c>
      <c r="F113">
        <v>2</v>
      </c>
      <c r="H113">
        <v>67258235</v>
      </c>
      <c r="I113">
        <v>19</v>
      </c>
      <c r="J113">
        <v>0</v>
      </c>
      <c r="K113">
        <v>0</v>
      </c>
      <c r="L113">
        <v>-506870227</v>
      </c>
      <c r="N113" s="1" t="str">
        <f t="shared" si="9"/>
        <v>123.71.2.4</v>
      </c>
      <c r="O113" s="3">
        <f t="shared" si="10"/>
        <v>43845.757743055554</v>
      </c>
      <c r="P113" s="4">
        <f t="shared" si="11"/>
        <v>57</v>
      </c>
    </row>
    <row r="114" spans="1:16" x14ac:dyDescent="0.25">
      <c r="A114" t="s">
        <v>74</v>
      </c>
      <c r="B114" t="s">
        <v>43</v>
      </c>
      <c r="C114">
        <v>555888001</v>
      </c>
      <c r="D114" t="s">
        <v>70</v>
      </c>
      <c r="E114">
        <v>0</v>
      </c>
      <c r="F114">
        <v>2</v>
      </c>
      <c r="H114">
        <v>67258235</v>
      </c>
      <c r="I114">
        <v>19</v>
      </c>
      <c r="J114">
        <v>0</v>
      </c>
      <c r="K114">
        <v>0</v>
      </c>
      <c r="L114">
        <v>0</v>
      </c>
      <c r="P114" s="1"/>
    </row>
    <row r="115" spans="1:16" x14ac:dyDescent="0.25">
      <c r="A115" t="s">
        <v>75</v>
      </c>
      <c r="B115" t="s">
        <v>43</v>
      </c>
      <c r="C115">
        <v>555888001</v>
      </c>
      <c r="D115" t="s">
        <v>70</v>
      </c>
      <c r="E115">
        <v>0</v>
      </c>
      <c r="F115">
        <v>2</v>
      </c>
      <c r="H115">
        <v>67258235</v>
      </c>
      <c r="I115">
        <v>19</v>
      </c>
      <c r="J115">
        <v>0</v>
      </c>
      <c r="K115">
        <v>54321</v>
      </c>
      <c r="L115">
        <v>-506870227</v>
      </c>
      <c r="P115" s="1"/>
    </row>
    <row r="116" spans="1:16" x14ac:dyDescent="0.25">
      <c r="A116" t="s">
        <v>77</v>
      </c>
      <c r="B116" t="s">
        <v>43</v>
      </c>
      <c r="C116">
        <v>555888001</v>
      </c>
      <c r="D116" t="s">
        <v>76</v>
      </c>
      <c r="E116">
        <v>0</v>
      </c>
      <c r="F116">
        <v>2</v>
      </c>
      <c r="H116">
        <v>67258235</v>
      </c>
      <c r="I116">
        <v>19</v>
      </c>
      <c r="J116">
        <v>110</v>
      </c>
      <c r="K116">
        <v>54321</v>
      </c>
      <c r="L116">
        <v>-506870201</v>
      </c>
      <c r="P116" s="1"/>
    </row>
    <row r="117" spans="1:16" x14ac:dyDescent="0.25">
      <c r="A117" t="s">
        <v>78</v>
      </c>
      <c r="B117" t="s">
        <v>43</v>
      </c>
      <c r="C117">
        <v>555888001</v>
      </c>
      <c r="D117" t="s">
        <v>76</v>
      </c>
      <c r="E117">
        <v>0</v>
      </c>
      <c r="F117">
        <v>2</v>
      </c>
      <c r="H117">
        <v>67258235</v>
      </c>
      <c r="I117">
        <v>19</v>
      </c>
      <c r="J117">
        <v>110</v>
      </c>
      <c r="K117">
        <v>0</v>
      </c>
      <c r="L117">
        <v>-506870201</v>
      </c>
      <c r="P117" s="1"/>
    </row>
    <row r="118" spans="1:16" x14ac:dyDescent="0.25">
      <c r="A118" t="s">
        <v>79</v>
      </c>
      <c r="B118" t="s">
        <v>43</v>
      </c>
      <c r="C118">
        <v>555888001</v>
      </c>
      <c r="D118" t="s">
        <v>76</v>
      </c>
      <c r="E118">
        <v>0</v>
      </c>
      <c r="F118">
        <v>2</v>
      </c>
      <c r="H118">
        <v>67258235</v>
      </c>
      <c r="I118">
        <v>19</v>
      </c>
      <c r="J118">
        <v>110</v>
      </c>
      <c r="K118">
        <v>0</v>
      </c>
      <c r="L118">
        <v>-506870201</v>
      </c>
      <c r="P118" s="1"/>
    </row>
    <row r="119" spans="1:16" x14ac:dyDescent="0.25">
      <c r="A119" t="s">
        <v>80</v>
      </c>
      <c r="B119" t="s">
        <v>43</v>
      </c>
      <c r="C119">
        <v>555888001</v>
      </c>
      <c r="D119" t="s">
        <v>76</v>
      </c>
      <c r="E119">
        <v>0</v>
      </c>
      <c r="F119">
        <v>2</v>
      </c>
      <c r="H119">
        <v>67258235</v>
      </c>
      <c r="I119">
        <v>19</v>
      </c>
      <c r="J119">
        <v>110</v>
      </c>
      <c r="K119">
        <v>0</v>
      </c>
      <c r="L119">
        <v>0</v>
      </c>
      <c r="P119" s="1"/>
    </row>
    <row r="120" spans="1:16" x14ac:dyDescent="0.25">
      <c r="A120" t="s">
        <v>81</v>
      </c>
      <c r="B120" t="s">
        <v>43</v>
      </c>
      <c r="C120">
        <v>555888001</v>
      </c>
      <c r="D120" t="s">
        <v>76</v>
      </c>
      <c r="E120">
        <v>0</v>
      </c>
      <c r="F120">
        <v>2</v>
      </c>
      <c r="H120">
        <v>67258235</v>
      </c>
      <c r="I120">
        <v>19</v>
      </c>
      <c r="J120">
        <v>110</v>
      </c>
      <c r="K120">
        <v>54321</v>
      </c>
      <c r="L120">
        <v>-506870201</v>
      </c>
      <c r="P120" s="1"/>
    </row>
    <row r="121" spans="1:16" x14ac:dyDescent="0.25">
      <c r="A121" t="s">
        <v>83</v>
      </c>
      <c r="B121" t="s">
        <v>43</v>
      </c>
      <c r="C121">
        <v>555888001</v>
      </c>
      <c r="D121" t="s">
        <v>82</v>
      </c>
      <c r="E121">
        <v>0</v>
      </c>
      <c r="F121">
        <v>2</v>
      </c>
      <c r="H121">
        <v>67258235</v>
      </c>
      <c r="I121">
        <v>19</v>
      </c>
      <c r="J121">
        <v>101</v>
      </c>
      <c r="K121">
        <v>54321</v>
      </c>
      <c r="L121">
        <v>-506870181</v>
      </c>
      <c r="P121" s="1"/>
    </row>
    <row r="122" spans="1:16" x14ac:dyDescent="0.25">
      <c r="A122" t="s">
        <v>84</v>
      </c>
      <c r="B122" t="s">
        <v>43</v>
      </c>
      <c r="C122">
        <v>555888001</v>
      </c>
      <c r="D122" t="s">
        <v>82</v>
      </c>
      <c r="E122">
        <v>0</v>
      </c>
      <c r="F122">
        <v>2</v>
      </c>
      <c r="H122">
        <v>67258235</v>
      </c>
      <c r="I122">
        <v>19</v>
      </c>
      <c r="J122">
        <v>101</v>
      </c>
      <c r="K122">
        <v>0</v>
      </c>
      <c r="L122">
        <v>-506870181</v>
      </c>
      <c r="P122" s="1"/>
    </row>
    <row r="123" spans="1:16" x14ac:dyDescent="0.25">
      <c r="A123" t="s">
        <v>85</v>
      </c>
      <c r="B123" t="s">
        <v>43</v>
      </c>
      <c r="C123">
        <v>555888001</v>
      </c>
      <c r="D123" t="s">
        <v>82</v>
      </c>
      <c r="E123">
        <v>0</v>
      </c>
      <c r="F123">
        <v>2</v>
      </c>
      <c r="H123">
        <v>67258235</v>
      </c>
      <c r="I123">
        <v>19</v>
      </c>
      <c r="J123">
        <v>101</v>
      </c>
      <c r="K123">
        <v>0</v>
      </c>
      <c r="L123">
        <v>-506870181</v>
      </c>
      <c r="P123" s="1"/>
    </row>
    <row r="124" spans="1:16" x14ac:dyDescent="0.25">
      <c r="A124" t="s">
        <v>86</v>
      </c>
      <c r="B124" t="s">
        <v>43</v>
      </c>
      <c r="C124">
        <v>555888001</v>
      </c>
      <c r="D124" t="s">
        <v>82</v>
      </c>
      <c r="E124">
        <v>0</v>
      </c>
      <c r="F124">
        <v>2</v>
      </c>
      <c r="H124">
        <v>67258235</v>
      </c>
      <c r="I124">
        <v>19</v>
      </c>
      <c r="J124">
        <v>101</v>
      </c>
      <c r="K124">
        <v>0</v>
      </c>
      <c r="L124">
        <v>0</v>
      </c>
      <c r="P124" s="1"/>
    </row>
    <row r="125" spans="1:16" x14ac:dyDescent="0.25">
      <c r="A125" t="s">
        <v>87</v>
      </c>
      <c r="B125" t="s">
        <v>43</v>
      </c>
      <c r="C125">
        <v>555888001</v>
      </c>
      <c r="D125" t="s">
        <v>82</v>
      </c>
      <c r="E125">
        <v>0</v>
      </c>
      <c r="F125">
        <v>2</v>
      </c>
      <c r="H125">
        <v>67258235</v>
      </c>
      <c r="I125">
        <v>19</v>
      </c>
      <c r="J125">
        <v>101</v>
      </c>
      <c r="K125">
        <v>54321</v>
      </c>
      <c r="L125">
        <v>-506870181</v>
      </c>
      <c r="P125" s="1"/>
    </row>
    <row r="126" spans="1:16" x14ac:dyDescent="0.25">
      <c r="A126" t="s">
        <v>89</v>
      </c>
      <c r="B126" t="s">
        <v>43</v>
      </c>
      <c r="C126">
        <v>555888001</v>
      </c>
      <c r="D126" t="s">
        <v>88</v>
      </c>
      <c r="E126">
        <v>0</v>
      </c>
      <c r="F126">
        <v>2</v>
      </c>
      <c r="H126">
        <v>67258235</v>
      </c>
      <c r="I126">
        <v>19</v>
      </c>
      <c r="J126">
        <v>109</v>
      </c>
      <c r="K126">
        <v>54321</v>
      </c>
      <c r="L126">
        <v>-506870161</v>
      </c>
      <c r="P126" s="1"/>
    </row>
    <row r="127" spans="1:16" x14ac:dyDescent="0.25">
      <c r="A127" t="s">
        <v>90</v>
      </c>
      <c r="B127" t="s">
        <v>43</v>
      </c>
      <c r="C127">
        <v>555888001</v>
      </c>
      <c r="D127" t="s">
        <v>88</v>
      </c>
      <c r="E127">
        <v>0</v>
      </c>
      <c r="F127">
        <v>2</v>
      </c>
      <c r="H127">
        <v>67258235</v>
      </c>
      <c r="I127">
        <v>19</v>
      </c>
      <c r="J127">
        <v>109</v>
      </c>
      <c r="K127">
        <v>0</v>
      </c>
      <c r="L127">
        <v>-506870161</v>
      </c>
      <c r="P127" s="1"/>
    </row>
    <row r="128" spans="1:16" x14ac:dyDescent="0.25">
      <c r="A128" t="s">
        <v>91</v>
      </c>
      <c r="B128" t="s">
        <v>43</v>
      </c>
      <c r="C128">
        <v>555888001</v>
      </c>
      <c r="D128" t="s">
        <v>88</v>
      </c>
      <c r="E128">
        <v>0</v>
      </c>
      <c r="F128">
        <v>2</v>
      </c>
      <c r="H128">
        <v>67258235</v>
      </c>
      <c r="I128">
        <v>19</v>
      </c>
      <c r="J128">
        <v>109</v>
      </c>
      <c r="K128">
        <v>0</v>
      </c>
      <c r="L128">
        <v>-506870161</v>
      </c>
      <c r="P128" s="1"/>
    </row>
    <row r="129" spans="1:16" x14ac:dyDescent="0.25">
      <c r="A129" t="s">
        <v>92</v>
      </c>
      <c r="B129" t="s">
        <v>43</v>
      </c>
      <c r="C129">
        <v>555888001</v>
      </c>
      <c r="D129" t="s">
        <v>88</v>
      </c>
      <c r="E129">
        <v>0</v>
      </c>
      <c r="F129">
        <v>2</v>
      </c>
      <c r="H129">
        <v>67258235</v>
      </c>
      <c r="I129">
        <v>19</v>
      </c>
      <c r="J129">
        <v>109</v>
      </c>
      <c r="K129">
        <v>0</v>
      </c>
      <c r="L129">
        <v>0</v>
      </c>
      <c r="P129" s="1"/>
    </row>
    <row r="130" spans="1:16" x14ac:dyDescent="0.25">
      <c r="A130" t="s">
        <v>93</v>
      </c>
      <c r="B130" t="s">
        <v>43</v>
      </c>
      <c r="C130">
        <v>555888001</v>
      </c>
      <c r="D130" t="s">
        <v>88</v>
      </c>
      <c r="E130">
        <v>0</v>
      </c>
      <c r="F130">
        <v>2</v>
      </c>
      <c r="H130">
        <v>67258235</v>
      </c>
      <c r="I130">
        <v>19</v>
      </c>
      <c r="J130">
        <v>109</v>
      </c>
      <c r="K130">
        <v>54321</v>
      </c>
      <c r="L130">
        <v>-506870161</v>
      </c>
      <c r="P130" s="1"/>
    </row>
    <row r="131" spans="1:16" x14ac:dyDescent="0.25">
      <c r="A131" t="s">
        <v>95</v>
      </c>
      <c r="B131" t="s">
        <v>43</v>
      </c>
      <c r="C131">
        <v>555888001</v>
      </c>
      <c r="D131" t="s">
        <v>94</v>
      </c>
      <c r="E131">
        <v>0</v>
      </c>
      <c r="F131">
        <v>2</v>
      </c>
      <c r="H131">
        <v>67258235</v>
      </c>
      <c r="I131">
        <v>19</v>
      </c>
      <c r="J131">
        <v>100</v>
      </c>
      <c r="K131">
        <v>54321</v>
      </c>
      <c r="L131">
        <v>-506870142</v>
      </c>
      <c r="P131" s="1"/>
    </row>
    <row r="132" spans="1:16" x14ac:dyDescent="0.25">
      <c r="A132" t="s">
        <v>96</v>
      </c>
      <c r="B132" t="s">
        <v>43</v>
      </c>
      <c r="C132">
        <v>555888001</v>
      </c>
      <c r="D132" t="s">
        <v>94</v>
      </c>
      <c r="E132">
        <v>0</v>
      </c>
      <c r="F132">
        <v>2</v>
      </c>
      <c r="H132">
        <v>67258235</v>
      </c>
      <c r="I132">
        <v>19</v>
      </c>
      <c r="J132">
        <v>100</v>
      </c>
      <c r="K132">
        <v>0</v>
      </c>
      <c r="L132">
        <v>-506870142</v>
      </c>
      <c r="P132" s="1"/>
    </row>
    <row r="133" spans="1:16" x14ac:dyDescent="0.25">
      <c r="A133" t="s">
        <v>97</v>
      </c>
      <c r="B133" t="s">
        <v>43</v>
      </c>
      <c r="C133">
        <v>555888001</v>
      </c>
      <c r="D133" t="s">
        <v>94</v>
      </c>
      <c r="E133">
        <v>0</v>
      </c>
      <c r="F133">
        <v>2</v>
      </c>
      <c r="H133">
        <v>67258235</v>
      </c>
      <c r="I133">
        <v>19</v>
      </c>
      <c r="J133">
        <v>100</v>
      </c>
      <c r="K133">
        <v>0</v>
      </c>
      <c r="L133">
        <v>-506870142</v>
      </c>
      <c r="P133" s="1"/>
    </row>
    <row r="134" spans="1:16" x14ac:dyDescent="0.25">
      <c r="A134" t="s">
        <v>98</v>
      </c>
      <c r="B134" t="s">
        <v>43</v>
      </c>
      <c r="C134">
        <v>555888001</v>
      </c>
      <c r="D134" t="s">
        <v>94</v>
      </c>
      <c r="E134">
        <v>0</v>
      </c>
      <c r="F134">
        <v>2</v>
      </c>
      <c r="H134">
        <v>67258235</v>
      </c>
      <c r="I134">
        <v>19</v>
      </c>
      <c r="J134">
        <v>100</v>
      </c>
      <c r="K134">
        <v>0</v>
      </c>
      <c r="L134">
        <v>0</v>
      </c>
      <c r="P134" s="1"/>
    </row>
    <row r="135" spans="1:16" x14ac:dyDescent="0.25">
      <c r="A135" t="s">
        <v>99</v>
      </c>
      <c r="B135" t="s">
        <v>43</v>
      </c>
      <c r="C135">
        <v>555888001</v>
      </c>
      <c r="D135" t="s">
        <v>94</v>
      </c>
      <c r="E135">
        <v>0</v>
      </c>
      <c r="F135">
        <v>2</v>
      </c>
      <c r="H135">
        <v>67258235</v>
      </c>
      <c r="I135">
        <v>19</v>
      </c>
      <c r="J135">
        <v>100</v>
      </c>
      <c r="K135">
        <v>54321</v>
      </c>
      <c r="L135">
        <v>-506870142</v>
      </c>
      <c r="P135" s="1"/>
    </row>
    <row r="136" spans="1:16" x14ac:dyDescent="0.25">
      <c r="A136" t="s">
        <v>101</v>
      </c>
      <c r="B136" t="s">
        <v>43</v>
      </c>
      <c r="C136">
        <v>555888001</v>
      </c>
      <c r="D136" t="s">
        <v>100</v>
      </c>
      <c r="E136">
        <v>0</v>
      </c>
      <c r="F136">
        <v>2</v>
      </c>
      <c r="H136">
        <v>67258235</v>
      </c>
      <c r="I136">
        <v>19</v>
      </c>
      <c r="J136">
        <v>1</v>
      </c>
      <c r="K136">
        <v>54321</v>
      </c>
      <c r="L136">
        <v>-506870118</v>
      </c>
      <c r="P136" s="1"/>
    </row>
    <row r="137" spans="1:16" x14ac:dyDescent="0.25">
      <c r="A137" t="s">
        <v>102</v>
      </c>
      <c r="B137" t="s">
        <v>43</v>
      </c>
      <c r="C137">
        <v>555888001</v>
      </c>
      <c r="D137" t="s">
        <v>100</v>
      </c>
      <c r="E137">
        <v>0</v>
      </c>
      <c r="F137">
        <v>2</v>
      </c>
      <c r="H137">
        <v>67258235</v>
      </c>
      <c r="I137">
        <v>19</v>
      </c>
      <c r="J137">
        <v>1</v>
      </c>
      <c r="K137">
        <v>0</v>
      </c>
      <c r="L137">
        <v>-506870118</v>
      </c>
      <c r="P137" s="1"/>
    </row>
    <row r="138" spans="1:16" x14ac:dyDescent="0.25">
      <c r="A138" t="s">
        <v>103</v>
      </c>
      <c r="B138" t="s">
        <v>43</v>
      </c>
      <c r="C138">
        <v>555888001</v>
      </c>
      <c r="D138" t="s">
        <v>100</v>
      </c>
      <c r="E138">
        <v>0</v>
      </c>
      <c r="F138">
        <v>2</v>
      </c>
      <c r="H138">
        <v>67258235</v>
      </c>
      <c r="I138">
        <v>19</v>
      </c>
      <c r="J138">
        <v>1</v>
      </c>
      <c r="K138">
        <v>0</v>
      </c>
      <c r="L138">
        <v>-506870118</v>
      </c>
      <c r="P138" s="1"/>
    </row>
    <row r="139" spans="1:16" x14ac:dyDescent="0.25">
      <c r="A139" t="s">
        <v>104</v>
      </c>
      <c r="B139" t="s">
        <v>51</v>
      </c>
      <c r="C139">
        <v>555888001</v>
      </c>
      <c r="D139" t="s">
        <v>100</v>
      </c>
      <c r="E139">
        <v>0</v>
      </c>
      <c r="F139">
        <v>2</v>
      </c>
      <c r="H139">
        <v>67258235</v>
      </c>
      <c r="I139">
        <v>19</v>
      </c>
      <c r="J139">
        <v>101</v>
      </c>
      <c r="K139">
        <v>0</v>
      </c>
      <c r="L139">
        <v>0</v>
      </c>
      <c r="P139" s="1"/>
    </row>
    <row r="140" spans="1:16" x14ac:dyDescent="0.25">
      <c r="A140" t="s">
        <v>105</v>
      </c>
      <c r="B140" t="s">
        <v>43</v>
      </c>
      <c r="C140">
        <v>555888001</v>
      </c>
      <c r="D140" t="s">
        <v>100</v>
      </c>
      <c r="E140">
        <v>0</v>
      </c>
      <c r="F140">
        <v>2</v>
      </c>
      <c r="H140">
        <v>67258235</v>
      </c>
      <c r="I140">
        <v>19</v>
      </c>
      <c r="J140">
        <v>1</v>
      </c>
      <c r="K140">
        <v>54321</v>
      </c>
      <c r="L140">
        <v>-506870118</v>
      </c>
      <c r="P140" s="1"/>
    </row>
    <row r="141" spans="1:16" x14ac:dyDescent="0.25">
      <c r="A141" t="s">
        <v>107</v>
      </c>
      <c r="B141" t="s">
        <v>43</v>
      </c>
      <c r="C141">
        <v>555888001</v>
      </c>
      <c r="D141" t="s">
        <v>106</v>
      </c>
      <c r="E141">
        <v>0</v>
      </c>
      <c r="F141">
        <v>2</v>
      </c>
      <c r="H141">
        <v>67258235</v>
      </c>
      <c r="I141">
        <v>19</v>
      </c>
      <c r="J141">
        <v>9</v>
      </c>
      <c r="K141">
        <v>54321</v>
      </c>
      <c r="L141">
        <v>-506870094</v>
      </c>
      <c r="P141" s="1"/>
    </row>
    <row r="142" spans="1:16" x14ac:dyDescent="0.25">
      <c r="A142" t="s">
        <v>108</v>
      </c>
      <c r="B142" t="s">
        <v>43</v>
      </c>
      <c r="C142">
        <v>555888001</v>
      </c>
      <c r="D142" t="s">
        <v>106</v>
      </c>
      <c r="E142">
        <v>0</v>
      </c>
      <c r="F142">
        <v>2</v>
      </c>
      <c r="H142">
        <v>67258235</v>
      </c>
      <c r="I142">
        <v>19</v>
      </c>
      <c r="J142">
        <v>9</v>
      </c>
      <c r="K142">
        <v>0</v>
      </c>
      <c r="L142">
        <v>-506870094</v>
      </c>
      <c r="P142" s="1"/>
    </row>
    <row r="143" spans="1:16" x14ac:dyDescent="0.25">
      <c r="A143" t="s">
        <v>109</v>
      </c>
      <c r="B143" t="s">
        <v>43</v>
      </c>
      <c r="C143">
        <v>555888001</v>
      </c>
      <c r="D143" t="s">
        <v>106</v>
      </c>
      <c r="E143">
        <v>0</v>
      </c>
      <c r="F143">
        <v>2</v>
      </c>
      <c r="H143">
        <v>67258235</v>
      </c>
      <c r="I143">
        <v>19</v>
      </c>
      <c r="J143">
        <v>9</v>
      </c>
      <c r="K143">
        <v>0</v>
      </c>
      <c r="L143">
        <v>-506870094</v>
      </c>
      <c r="P143" s="1"/>
    </row>
    <row r="144" spans="1:16" x14ac:dyDescent="0.25">
      <c r="A144" t="s">
        <v>111</v>
      </c>
      <c r="B144" t="s">
        <v>51</v>
      </c>
      <c r="C144">
        <v>555888001</v>
      </c>
      <c r="D144" t="s">
        <v>106</v>
      </c>
      <c r="E144">
        <v>0</v>
      </c>
      <c r="F144">
        <v>2</v>
      </c>
      <c r="H144">
        <v>67258235</v>
      </c>
      <c r="I144">
        <v>19</v>
      </c>
      <c r="J144">
        <v>109</v>
      </c>
      <c r="K144">
        <v>0</v>
      </c>
      <c r="L144">
        <v>0</v>
      </c>
      <c r="P144" s="1"/>
    </row>
    <row r="145" spans="1:16" x14ac:dyDescent="0.25">
      <c r="A145" t="s">
        <v>112</v>
      </c>
      <c r="B145" t="s">
        <v>43</v>
      </c>
      <c r="C145">
        <v>555888001</v>
      </c>
      <c r="D145" t="s">
        <v>106</v>
      </c>
      <c r="E145">
        <v>0</v>
      </c>
      <c r="F145">
        <v>2</v>
      </c>
      <c r="H145">
        <v>67258235</v>
      </c>
      <c r="I145">
        <v>19</v>
      </c>
      <c r="J145">
        <v>9</v>
      </c>
      <c r="K145">
        <v>54321</v>
      </c>
      <c r="L145">
        <v>-506870094</v>
      </c>
      <c r="P145" s="1"/>
    </row>
    <row r="146" spans="1:16" x14ac:dyDescent="0.25">
      <c r="A146" t="s">
        <v>114</v>
      </c>
      <c r="B146" t="s">
        <v>43</v>
      </c>
      <c r="C146">
        <v>555888001</v>
      </c>
      <c r="D146" t="s">
        <v>113</v>
      </c>
      <c r="E146">
        <v>0</v>
      </c>
      <c r="F146">
        <v>2</v>
      </c>
      <c r="H146">
        <v>67258235</v>
      </c>
      <c r="I146">
        <v>19</v>
      </c>
      <c r="J146">
        <v>99</v>
      </c>
      <c r="K146">
        <v>54321</v>
      </c>
      <c r="L146">
        <v>-506870074</v>
      </c>
      <c r="P146" s="1"/>
    </row>
    <row r="147" spans="1:16" x14ac:dyDescent="0.25">
      <c r="A147" t="s">
        <v>115</v>
      </c>
      <c r="B147" t="s">
        <v>43</v>
      </c>
      <c r="C147">
        <v>555888001</v>
      </c>
      <c r="D147" t="s">
        <v>113</v>
      </c>
      <c r="E147">
        <v>0</v>
      </c>
      <c r="F147">
        <v>2</v>
      </c>
      <c r="H147">
        <v>67258235</v>
      </c>
      <c r="I147">
        <v>19</v>
      </c>
      <c r="J147">
        <v>99</v>
      </c>
      <c r="K147">
        <v>0</v>
      </c>
      <c r="L147">
        <v>-506870074</v>
      </c>
      <c r="P147" s="1"/>
    </row>
    <row r="148" spans="1:16" x14ac:dyDescent="0.25">
      <c r="A148" t="s">
        <v>116</v>
      </c>
      <c r="B148" t="s">
        <v>43</v>
      </c>
      <c r="C148">
        <v>555888001</v>
      </c>
      <c r="D148" t="s">
        <v>113</v>
      </c>
      <c r="E148">
        <v>0</v>
      </c>
      <c r="F148">
        <v>2</v>
      </c>
      <c r="H148">
        <v>67258235</v>
      </c>
      <c r="I148">
        <v>19</v>
      </c>
      <c r="J148">
        <v>99</v>
      </c>
      <c r="K148">
        <v>0</v>
      </c>
      <c r="L148">
        <v>-506870074</v>
      </c>
      <c r="P148" s="1"/>
    </row>
    <row r="149" spans="1:16" x14ac:dyDescent="0.25">
      <c r="A149" t="s">
        <v>117</v>
      </c>
      <c r="B149" t="s">
        <v>43</v>
      </c>
      <c r="C149">
        <v>555888001</v>
      </c>
      <c r="D149" t="s">
        <v>113</v>
      </c>
      <c r="E149">
        <v>0</v>
      </c>
      <c r="F149">
        <v>2</v>
      </c>
      <c r="H149">
        <v>67258235</v>
      </c>
      <c r="I149">
        <v>19</v>
      </c>
      <c r="J149">
        <v>99</v>
      </c>
      <c r="K149">
        <v>0</v>
      </c>
      <c r="L149">
        <v>0</v>
      </c>
      <c r="P149" s="1"/>
    </row>
    <row r="150" spans="1:16" x14ac:dyDescent="0.25">
      <c r="A150" t="s">
        <v>118</v>
      </c>
      <c r="B150" t="s">
        <v>43</v>
      </c>
      <c r="C150">
        <v>555888001</v>
      </c>
      <c r="D150" t="s">
        <v>113</v>
      </c>
      <c r="E150">
        <v>0</v>
      </c>
      <c r="F150">
        <v>2</v>
      </c>
      <c r="H150">
        <v>67258235</v>
      </c>
      <c r="I150">
        <v>19</v>
      </c>
      <c r="J150">
        <v>99</v>
      </c>
      <c r="K150">
        <v>54321</v>
      </c>
      <c r="L150">
        <v>-506870074</v>
      </c>
      <c r="P150" s="1"/>
    </row>
    <row r="151" spans="1:16" x14ac:dyDescent="0.25">
      <c r="A151" t="s">
        <v>120</v>
      </c>
      <c r="B151" t="s">
        <v>43</v>
      </c>
      <c r="C151">
        <v>555888001</v>
      </c>
      <c r="D151" t="s">
        <v>119</v>
      </c>
      <c r="E151">
        <v>0</v>
      </c>
      <c r="F151">
        <v>3</v>
      </c>
      <c r="G151" t="s">
        <v>28</v>
      </c>
      <c r="I151">
        <v>19</v>
      </c>
      <c r="J151">
        <v>33</v>
      </c>
      <c r="K151">
        <v>54321</v>
      </c>
      <c r="L151">
        <v>-506870055</v>
      </c>
      <c r="P151" s="1"/>
    </row>
    <row r="152" spans="1:16" x14ac:dyDescent="0.25">
      <c r="A152" t="s">
        <v>121</v>
      </c>
      <c r="B152" t="s">
        <v>43</v>
      </c>
      <c r="C152">
        <v>555888001</v>
      </c>
      <c r="D152" t="s">
        <v>119</v>
      </c>
      <c r="E152">
        <v>0</v>
      </c>
      <c r="F152">
        <v>3</v>
      </c>
      <c r="G152" t="s">
        <v>28</v>
      </c>
      <c r="H152">
        <v>0</v>
      </c>
      <c r="I152">
        <v>19</v>
      </c>
      <c r="J152">
        <v>33</v>
      </c>
      <c r="K152">
        <v>0</v>
      </c>
      <c r="L152">
        <v>-506870055</v>
      </c>
      <c r="P152" s="1"/>
    </row>
    <row r="153" spans="1:16" x14ac:dyDescent="0.25">
      <c r="A153" t="s">
        <v>122</v>
      </c>
      <c r="B153" t="s">
        <v>43</v>
      </c>
      <c r="C153">
        <v>555888001</v>
      </c>
      <c r="D153" t="s">
        <v>119</v>
      </c>
      <c r="E153">
        <v>0</v>
      </c>
      <c r="F153">
        <v>3</v>
      </c>
      <c r="G153" t="s">
        <v>28</v>
      </c>
      <c r="H153">
        <v>0</v>
      </c>
      <c r="I153">
        <v>19</v>
      </c>
      <c r="J153">
        <v>33</v>
      </c>
      <c r="K153">
        <v>0</v>
      </c>
      <c r="L153">
        <v>-506870055</v>
      </c>
      <c r="P153" s="1"/>
    </row>
    <row r="154" spans="1:16" x14ac:dyDescent="0.25">
      <c r="A154" t="s">
        <v>123</v>
      </c>
      <c r="B154" t="s">
        <v>43</v>
      </c>
      <c r="C154">
        <v>555888001</v>
      </c>
      <c r="D154" t="s">
        <v>119</v>
      </c>
      <c r="E154">
        <v>0</v>
      </c>
      <c r="F154">
        <v>3</v>
      </c>
      <c r="G154" t="s">
        <v>28</v>
      </c>
      <c r="I154">
        <v>19</v>
      </c>
      <c r="J154">
        <v>33</v>
      </c>
      <c r="K154">
        <v>0</v>
      </c>
      <c r="L154">
        <v>0</v>
      </c>
      <c r="P154" s="1"/>
    </row>
    <row r="155" spans="1:16" x14ac:dyDescent="0.25">
      <c r="A155" t="s">
        <v>124</v>
      </c>
      <c r="B155" t="s">
        <v>43</v>
      </c>
      <c r="C155">
        <v>555888001</v>
      </c>
      <c r="D155" t="s">
        <v>119</v>
      </c>
      <c r="E155">
        <v>0</v>
      </c>
      <c r="F155">
        <v>3</v>
      </c>
      <c r="G155" t="s">
        <v>28</v>
      </c>
      <c r="H155">
        <v>0</v>
      </c>
      <c r="I155">
        <v>19</v>
      </c>
      <c r="J155">
        <v>33</v>
      </c>
      <c r="K155">
        <v>54321</v>
      </c>
      <c r="L155">
        <v>-506870055</v>
      </c>
      <c r="P155" s="1"/>
    </row>
    <row r="156" spans="1:16" x14ac:dyDescent="0.25">
      <c r="A156" t="s">
        <v>126</v>
      </c>
      <c r="B156" t="s">
        <v>43</v>
      </c>
      <c r="C156">
        <v>555888001</v>
      </c>
      <c r="D156" t="s">
        <v>125</v>
      </c>
      <c r="E156">
        <v>0</v>
      </c>
      <c r="F156">
        <v>3</v>
      </c>
      <c r="G156" t="s">
        <v>28</v>
      </c>
      <c r="I156">
        <v>19</v>
      </c>
      <c r="J156">
        <v>33</v>
      </c>
      <c r="K156">
        <v>54321</v>
      </c>
      <c r="L156">
        <v>-506870056</v>
      </c>
      <c r="P156" s="1"/>
    </row>
    <row r="157" spans="1:16" x14ac:dyDescent="0.25">
      <c r="A157" t="s">
        <v>127</v>
      </c>
      <c r="B157" t="s">
        <v>43</v>
      </c>
      <c r="C157">
        <v>555888001</v>
      </c>
      <c r="D157" t="s">
        <v>119</v>
      </c>
      <c r="E157">
        <v>0</v>
      </c>
      <c r="F157">
        <v>3</v>
      </c>
      <c r="G157" t="s">
        <v>28</v>
      </c>
      <c r="H157">
        <v>0</v>
      </c>
      <c r="I157">
        <v>19</v>
      </c>
      <c r="J157">
        <v>33</v>
      </c>
      <c r="K157">
        <v>0</v>
      </c>
      <c r="L157">
        <v>-506870055</v>
      </c>
      <c r="P157" s="1"/>
    </row>
    <row r="158" spans="1:16" x14ac:dyDescent="0.25">
      <c r="A158" t="s">
        <v>128</v>
      </c>
      <c r="B158" t="s">
        <v>43</v>
      </c>
      <c r="C158">
        <v>555888001</v>
      </c>
      <c r="D158" t="s">
        <v>119</v>
      </c>
      <c r="E158">
        <v>0</v>
      </c>
      <c r="F158">
        <v>3</v>
      </c>
      <c r="G158" t="s">
        <v>28</v>
      </c>
      <c r="H158">
        <v>0</v>
      </c>
      <c r="I158">
        <v>19</v>
      </c>
      <c r="J158">
        <v>33</v>
      </c>
      <c r="K158">
        <v>0</v>
      </c>
      <c r="L158">
        <v>-506870055</v>
      </c>
      <c r="P158" s="1"/>
    </row>
    <row r="159" spans="1:16" x14ac:dyDescent="0.25">
      <c r="A159" t="s">
        <v>129</v>
      </c>
      <c r="B159" t="s">
        <v>43</v>
      </c>
      <c r="C159">
        <v>555888001</v>
      </c>
      <c r="D159" t="s">
        <v>119</v>
      </c>
      <c r="E159">
        <v>0</v>
      </c>
      <c r="F159">
        <v>3</v>
      </c>
      <c r="G159" t="s">
        <v>28</v>
      </c>
      <c r="I159">
        <v>19</v>
      </c>
      <c r="J159">
        <v>33</v>
      </c>
      <c r="K159">
        <v>0</v>
      </c>
      <c r="L159">
        <v>0</v>
      </c>
      <c r="P159" s="1"/>
    </row>
    <row r="160" spans="1:16" x14ac:dyDescent="0.25">
      <c r="A160" t="s">
        <v>130</v>
      </c>
      <c r="B160" t="s">
        <v>43</v>
      </c>
      <c r="C160">
        <v>555888001</v>
      </c>
      <c r="D160" t="s">
        <v>119</v>
      </c>
      <c r="E160">
        <v>0</v>
      </c>
      <c r="F160">
        <v>3</v>
      </c>
      <c r="G160" t="s">
        <v>28</v>
      </c>
      <c r="H160">
        <v>0</v>
      </c>
      <c r="I160">
        <v>19</v>
      </c>
      <c r="J160">
        <v>33</v>
      </c>
      <c r="K160">
        <v>54321</v>
      </c>
      <c r="L160">
        <v>-506870055</v>
      </c>
      <c r="P160" s="1"/>
    </row>
    <row r="161" spans="1:16" x14ac:dyDescent="0.25">
      <c r="A161" t="s">
        <v>132</v>
      </c>
      <c r="B161" t="s">
        <v>43</v>
      </c>
      <c r="C161">
        <v>555888001</v>
      </c>
      <c r="D161" t="s">
        <v>131</v>
      </c>
      <c r="E161">
        <v>0</v>
      </c>
      <c r="F161">
        <v>3</v>
      </c>
      <c r="G161" t="s">
        <v>28</v>
      </c>
      <c r="I161">
        <v>19</v>
      </c>
      <c r="J161">
        <v>33</v>
      </c>
      <c r="K161">
        <v>54321</v>
      </c>
      <c r="L161">
        <v>-506870054</v>
      </c>
      <c r="P161" s="1"/>
    </row>
    <row r="162" spans="1:16" x14ac:dyDescent="0.25">
      <c r="A162" t="s">
        <v>133</v>
      </c>
      <c r="B162" t="s">
        <v>43</v>
      </c>
      <c r="C162">
        <v>555888001</v>
      </c>
      <c r="D162" t="s">
        <v>131</v>
      </c>
      <c r="E162">
        <v>0</v>
      </c>
      <c r="F162">
        <v>3</v>
      </c>
      <c r="G162" t="s">
        <v>28</v>
      </c>
      <c r="H162">
        <v>0</v>
      </c>
      <c r="I162">
        <v>19</v>
      </c>
      <c r="J162">
        <v>33</v>
      </c>
      <c r="K162">
        <v>0</v>
      </c>
      <c r="L162">
        <v>-506870054</v>
      </c>
      <c r="P162" s="1"/>
    </row>
    <row r="163" spans="1:16" x14ac:dyDescent="0.25">
      <c r="A163" t="s">
        <v>134</v>
      </c>
      <c r="B163" t="s">
        <v>43</v>
      </c>
      <c r="C163">
        <v>555888001</v>
      </c>
      <c r="D163" t="s">
        <v>131</v>
      </c>
      <c r="E163">
        <v>0</v>
      </c>
      <c r="F163">
        <v>3</v>
      </c>
      <c r="G163" t="s">
        <v>28</v>
      </c>
      <c r="H163">
        <v>0</v>
      </c>
      <c r="I163">
        <v>19</v>
      </c>
      <c r="J163">
        <v>33</v>
      </c>
      <c r="K163">
        <v>0</v>
      </c>
      <c r="L163">
        <v>-506870054</v>
      </c>
      <c r="P163" s="1"/>
    </row>
    <row r="164" spans="1:16" x14ac:dyDescent="0.25">
      <c r="A164" t="s">
        <v>135</v>
      </c>
      <c r="B164" t="s">
        <v>43</v>
      </c>
      <c r="C164">
        <v>555888001</v>
      </c>
      <c r="D164" t="s">
        <v>131</v>
      </c>
      <c r="E164">
        <v>0</v>
      </c>
      <c r="F164">
        <v>3</v>
      </c>
      <c r="G164" t="s">
        <v>28</v>
      </c>
      <c r="I164">
        <v>19</v>
      </c>
      <c r="J164">
        <v>33</v>
      </c>
      <c r="K164">
        <v>0</v>
      </c>
      <c r="L164">
        <v>0</v>
      </c>
      <c r="P164" s="1"/>
    </row>
    <row r="165" spans="1:16" x14ac:dyDescent="0.25">
      <c r="A165" t="s">
        <v>136</v>
      </c>
      <c r="B165" t="s">
        <v>43</v>
      </c>
      <c r="C165">
        <v>555888001</v>
      </c>
      <c r="D165" t="s">
        <v>131</v>
      </c>
      <c r="E165">
        <v>0</v>
      </c>
      <c r="F165">
        <v>3</v>
      </c>
      <c r="G165" t="s">
        <v>28</v>
      </c>
      <c r="H165">
        <v>0</v>
      </c>
      <c r="I165">
        <v>19</v>
      </c>
      <c r="J165">
        <v>33</v>
      </c>
      <c r="K165">
        <v>54321</v>
      </c>
      <c r="L165">
        <v>-506870054</v>
      </c>
      <c r="P165" s="1"/>
    </row>
    <row r="166" spans="1:16" x14ac:dyDescent="0.25">
      <c r="P166" s="1"/>
    </row>
    <row r="167" spans="1:16" x14ac:dyDescent="0.25">
      <c r="P167" s="1"/>
    </row>
    <row r="168" spans="1:16" x14ac:dyDescent="0.25">
      <c r="P168" s="1"/>
    </row>
    <row r="169" spans="1:16" x14ac:dyDescent="0.25">
      <c r="P169" s="1"/>
    </row>
    <row r="170" spans="1:16" x14ac:dyDescent="0.25">
      <c r="P170" s="1"/>
    </row>
    <row r="171" spans="1:16" x14ac:dyDescent="0.25">
      <c r="P171" s="1"/>
    </row>
    <row r="172" spans="1:16" x14ac:dyDescent="0.25">
      <c r="P172" s="1"/>
    </row>
    <row r="173" spans="1:16" x14ac:dyDescent="0.25">
      <c r="P173" s="1"/>
    </row>
    <row r="174" spans="1:16" x14ac:dyDescent="0.25">
      <c r="P174" s="1"/>
    </row>
    <row r="175" spans="1:16" x14ac:dyDescent="0.25">
      <c r="P175" s="1"/>
    </row>
    <row r="176" spans="1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  <row r="380" spans="16:16" x14ac:dyDescent="0.25">
      <c r="P380" s="1"/>
    </row>
    <row r="381" spans="16:16" x14ac:dyDescent="0.25">
      <c r="P381" s="1"/>
    </row>
    <row r="382" spans="16:16" x14ac:dyDescent="0.25">
      <c r="P382" s="1"/>
    </row>
    <row r="383" spans="16:16" x14ac:dyDescent="0.25">
      <c r="P383" s="1"/>
    </row>
    <row r="384" spans="16:16" x14ac:dyDescent="0.25">
      <c r="P384" s="1"/>
    </row>
    <row r="385" spans="16:16" x14ac:dyDescent="0.25">
      <c r="P385" s="1"/>
    </row>
    <row r="386" spans="16:16" x14ac:dyDescent="0.25">
      <c r="P386" s="1"/>
    </row>
    <row r="387" spans="16:16" x14ac:dyDescent="0.25">
      <c r="P387" s="1"/>
    </row>
    <row r="388" spans="16:16" x14ac:dyDescent="0.25">
      <c r="P388" s="1"/>
    </row>
    <row r="389" spans="16:16" x14ac:dyDescent="0.25">
      <c r="P389" s="1"/>
    </row>
    <row r="390" spans="16:16" x14ac:dyDescent="0.25">
      <c r="P390" s="1"/>
    </row>
    <row r="391" spans="16:16" x14ac:dyDescent="0.25">
      <c r="P391" s="1"/>
    </row>
    <row r="392" spans="16:16" x14ac:dyDescent="0.25">
      <c r="P392" s="1"/>
    </row>
    <row r="393" spans="16:16" x14ac:dyDescent="0.25">
      <c r="P393" s="1"/>
    </row>
    <row r="394" spans="16:16" x14ac:dyDescent="0.25">
      <c r="P394" s="1"/>
    </row>
    <row r="395" spans="16:16" x14ac:dyDescent="0.25">
      <c r="P395" s="1"/>
    </row>
    <row r="396" spans="16:16" x14ac:dyDescent="0.25">
      <c r="P396" s="1"/>
    </row>
    <row r="397" spans="16:16" x14ac:dyDescent="0.25">
      <c r="P397" s="1"/>
    </row>
    <row r="398" spans="16:16" x14ac:dyDescent="0.25">
      <c r="P398" s="1"/>
    </row>
    <row r="399" spans="16:16" x14ac:dyDescent="0.25">
      <c r="P399" s="1"/>
    </row>
    <row r="400" spans="16:16" x14ac:dyDescent="0.25">
      <c r="P400" s="1"/>
    </row>
    <row r="401" spans="16:16" x14ac:dyDescent="0.25">
      <c r="P401" s="1"/>
    </row>
    <row r="402" spans="16:16" x14ac:dyDescent="0.25">
      <c r="P402" s="1"/>
    </row>
    <row r="403" spans="16:16" x14ac:dyDescent="0.25">
      <c r="P403" s="1"/>
    </row>
    <row r="404" spans="16:16" x14ac:dyDescent="0.25">
      <c r="P404" s="1"/>
    </row>
    <row r="405" spans="16:16" x14ac:dyDescent="0.25">
      <c r="P405" s="1"/>
    </row>
    <row r="406" spans="16:16" x14ac:dyDescent="0.25">
      <c r="P406" s="1"/>
    </row>
    <row r="407" spans="16:16" x14ac:dyDescent="0.25">
      <c r="P407" s="1"/>
    </row>
    <row r="408" spans="16:16" x14ac:dyDescent="0.25">
      <c r="P408" s="1"/>
    </row>
    <row r="409" spans="16:16" x14ac:dyDescent="0.25">
      <c r="P409" s="1"/>
    </row>
    <row r="410" spans="16:16" x14ac:dyDescent="0.25">
      <c r="P410" s="1"/>
    </row>
    <row r="411" spans="16:16" x14ac:dyDescent="0.25">
      <c r="P411" s="1"/>
    </row>
    <row r="412" spans="16:16" x14ac:dyDescent="0.25">
      <c r="P412" s="1"/>
    </row>
    <row r="413" spans="16:16" x14ac:dyDescent="0.25">
      <c r="P413" s="1"/>
    </row>
    <row r="414" spans="16:16" x14ac:dyDescent="0.25">
      <c r="P414" s="1"/>
    </row>
    <row r="415" spans="16:16" x14ac:dyDescent="0.25">
      <c r="P415" s="1"/>
    </row>
    <row r="416" spans="16:16" x14ac:dyDescent="0.25">
      <c r="P416" s="1"/>
    </row>
    <row r="417" spans="16:16" x14ac:dyDescent="0.25">
      <c r="P417" s="1"/>
    </row>
    <row r="418" spans="16:16" x14ac:dyDescent="0.25">
      <c r="P418" s="1"/>
    </row>
    <row r="419" spans="16:16" x14ac:dyDescent="0.25">
      <c r="P419" s="1"/>
    </row>
    <row r="420" spans="16:16" x14ac:dyDescent="0.25">
      <c r="P420" s="1"/>
    </row>
    <row r="421" spans="16:16" x14ac:dyDescent="0.25">
      <c r="P421" s="1"/>
    </row>
    <row r="422" spans="16:16" x14ac:dyDescent="0.25">
      <c r="P422" s="1"/>
    </row>
    <row r="423" spans="16:16" x14ac:dyDescent="0.25">
      <c r="P423" s="1"/>
    </row>
    <row r="424" spans="16:16" x14ac:dyDescent="0.25">
      <c r="P424" s="1"/>
    </row>
    <row r="425" spans="16:16" x14ac:dyDescent="0.25">
      <c r="P425" s="1"/>
    </row>
    <row r="426" spans="16:16" x14ac:dyDescent="0.25">
      <c r="P426" s="1"/>
    </row>
    <row r="427" spans="16:16" x14ac:dyDescent="0.25">
      <c r="P427" s="1"/>
    </row>
    <row r="428" spans="16:16" x14ac:dyDescent="0.25">
      <c r="P428" s="1"/>
    </row>
    <row r="429" spans="16:16" x14ac:dyDescent="0.25">
      <c r="P429" s="1"/>
    </row>
    <row r="430" spans="16:16" x14ac:dyDescent="0.25">
      <c r="P430" s="1"/>
    </row>
    <row r="431" spans="16:16" x14ac:dyDescent="0.25">
      <c r="P431" s="1"/>
    </row>
    <row r="432" spans="16:16" x14ac:dyDescent="0.25">
      <c r="P432" s="1"/>
    </row>
    <row r="433" spans="16:16" x14ac:dyDescent="0.25">
      <c r="P433" s="1"/>
    </row>
    <row r="434" spans="16:16" x14ac:dyDescent="0.25">
      <c r="P434" s="1"/>
    </row>
    <row r="435" spans="16:16" x14ac:dyDescent="0.25">
      <c r="P435" s="1"/>
    </row>
    <row r="436" spans="16:16" x14ac:dyDescent="0.25">
      <c r="P436" s="1"/>
    </row>
    <row r="437" spans="16:16" x14ac:dyDescent="0.25">
      <c r="P437" s="1"/>
    </row>
    <row r="438" spans="16:16" x14ac:dyDescent="0.25">
      <c r="P438" s="1"/>
    </row>
    <row r="439" spans="16:16" x14ac:dyDescent="0.25">
      <c r="P439" s="1"/>
    </row>
    <row r="440" spans="16:16" x14ac:dyDescent="0.25">
      <c r="P440" s="1"/>
    </row>
    <row r="441" spans="16:16" x14ac:dyDescent="0.25">
      <c r="P441" s="1"/>
    </row>
    <row r="442" spans="16:16" x14ac:dyDescent="0.25">
      <c r="P442" s="1"/>
    </row>
    <row r="443" spans="16:16" x14ac:dyDescent="0.25">
      <c r="P443" s="1"/>
    </row>
    <row r="444" spans="16:16" x14ac:dyDescent="0.25">
      <c r="P444" s="1"/>
    </row>
    <row r="445" spans="16:16" x14ac:dyDescent="0.25">
      <c r="P445" s="1"/>
    </row>
    <row r="446" spans="16:16" x14ac:dyDescent="0.25">
      <c r="P446" s="1"/>
    </row>
    <row r="447" spans="16:16" x14ac:dyDescent="0.25">
      <c r="P447" s="1"/>
    </row>
    <row r="448" spans="16:16" x14ac:dyDescent="0.25">
      <c r="P448" s="1"/>
    </row>
    <row r="449" spans="16:16" x14ac:dyDescent="0.25">
      <c r="P449" s="1"/>
    </row>
    <row r="450" spans="16:16" x14ac:dyDescent="0.25">
      <c r="P450" s="1"/>
    </row>
    <row r="451" spans="16:16" x14ac:dyDescent="0.25">
      <c r="P451" s="1"/>
    </row>
    <row r="452" spans="16:16" x14ac:dyDescent="0.25">
      <c r="P452" s="1"/>
    </row>
    <row r="453" spans="16:16" x14ac:dyDescent="0.25">
      <c r="P453" s="1"/>
    </row>
    <row r="454" spans="16:16" x14ac:dyDescent="0.25">
      <c r="P454" s="1"/>
    </row>
    <row r="455" spans="16:16" x14ac:dyDescent="0.25">
      <c r="P455" s="1"/>
    </row>
    <row r="456" spans="16:16" x14ac:dyDescent="0.25">
      <c r="P456" s="1"/>
    </row>
  </sheetData>
  <autoFilter ref="C11:R568" xr:uid="{00000000-0009-0000-0000-000001000000}"/>
  <mergeCells count="2">
    <mergeCell ref="B8:D8"/>
    <mergeCell ref="B9:D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2.TEST_Test">
                <anchor moveWithCells="1" sizeWithCells="1">
                  <from>
                    <xdr:col>1</xdr:col>
                    <xdr:colOff>333375</xdr:colOff>
                    <xdr:row>3</xdr:row>
                    <xdr:rowOff>95250</xdr:rowOff>
                  </from>
                  <to>
                    <xdr:col>2</xdr:col>
                    <xdr:colOff>771525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abelle2.Test_VollesProgramm">
                <anchor moveWithCells="1" sizeWithCells="1">
                  <from>
                    <xdr:col>3</xdr:col>
                    <xdr:colOff>276225</xdr:colOff>
                    <xdr:row>3</xdr:row>
                    <xdr:rowOff>95250</xdr:rowOff>
                  </from>
                  <to>
                    <xdr:col>3</xdr:col>
                    <xdr:colOff>2009775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21</vt:i4>
      </vt:variant>
    </vt:vector>
  </HeadingPairs>
  <TitlesOfParts>
    <vt:vector size="23" baseType="lpstr">
      <vt:lpstr>Manuell</vt:lpstr>
      <vt:lpstr>Automatik</vt:lpstr>
      <vt:lpstr>Automatik!DebugAusgabe</vt:lpstr>
      <vt:lpstr>Manuell!DebugAusgabe</vt:lpstr>
      <vt:lpstr>DynAktNummer</vt:lpstr>
      <vt:lpstr>DynAktPin</vt:lpstr>
      <vt:lpstr>DynAktPort</vt:lpstr>
      <vt:lpstr>EinzelAbfrNummer</vt:lpstr>
      <vt:lpstr>Geheimzahl</vt:lpstr>
      <vt:lpstr>IP_Adresse</vt:lpstr>
      <vt:lpstr>Automatik!Listenkopf</vt:lpstr>
      <vt:lpstr>Listenkopf</vt:lpstr>
      <vt:lpstr>MaxSyncSekunden</vt:lpstr>
      <vt:lpstr>Server_PIN</vt:lpstr>
      <vt:lpstr>Server_Port</vt:lpstr>
      <vt:lpstr>ServerAdrTab</vt:lpstr>
      <vt:lpstr>ServerPortTab</vt:lpstr>
      <vt:lpstr>Suchmuster</vt:lpstr>
      <vt:lpstr>TestresultatKopf</vt:lpstr>
      <vt:lpstr>TestschrittKopf</vt:lpstr>
      <vt:lpstr>ZeitInkrement</vt:lpstr>
      <vt:lpstr>Automatik!Zeitzone</vt:lpstr>
      <vt:lpstr>Manuell!Zeitzone</vt:lpstr>
    </vt:vector>
  </TitlesOfParts>
  <Company>TÜV SÜD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</dc:creator>
  <cp:lastModifiedBy>Sonnenrein, Fred</cp:lastModifiedBy>
  <dcterms:created xsi:type="dcterms:W3CDTF">2013-09-25T11:44:04Z</dcterms:created>
  <dcterms:modified xsi:type="dcterms:W3CDTF">2023-07-02T17:34:01Z</dcterms:modified>
</cp:coreProperties>
</file>