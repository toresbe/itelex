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bookViews>
    <workbookView xWindow="120" yWindow="120" windowWidth="19320" windowHeight="11700" activeTab="1"/>
  </bookViews>
  <sheets>
    <sheet name="Manuell" sheetId="1" r:id="rId1"/>
    <sheet name="Automatik" sheetId="2" r:id="rId2"/>
  </sheets>
  <functionGroups builtInGroupCount="18"/>
  <definedNames>
    <definedName name="_xlnm._FilterDatabase" localSheetId="1" hidden="1">Automatik!$C$11:$R$568</definedName>
    <definedName name="_xlnm._FilterDatabase" localSheetId="0" hidden="1">Manuell!$A$13:$P$570</definedName>
    <definedName name="DebugAusgabe" localSheetId="1">Automatik!$B$9</definedName>
    <definedName name="DebugAusgabe" localSheetId="0">Manuell!$B$11</definedName>
    <definedName name="DynAktNummer">Manuell!$L$3</definedName>
    <definedName name="DynAktPin">Manuell!$L$5</definedName>
    <definedName name="DynAktPort">Manuell!$L$7</definedName>
    <definedName name="EinzelAbfrNummer">Manuell!$E$9</definedName>
    <definedName name="Geheimzahl">Manuell!$H$3</definedName>
    <definedName name="IP_Adresse">Manuell!$B$3</definedName>
    <definedName name="Listenkopf" localSheetId="1">Automatik!$C$11</definedName>
    <definedName name="Listenkopf">Manuell!$A$13</definedName>
    <definedName name="MaxSyncSekunden">Automatik!$L$8</definedName>
    <definedName name="Server_PIN">Automatik!$L$5</definedName>
    <definedName name="Server_Port">Manuell!$B$6</definedName>
    <definedName name="ServerAdrTab">Automatik!$G$4</definedName>
    <definedName name="ServerPortTab">Automatik!$H$4</definedName>
    <definedName name="Suchmuster">Manuell!$E$3</definedName>
    <definedName name="TestresultatKopf">Automatik!$B$11</definedName>
    <definedName name="TestschrittKopf">Automatik!$A$11</definedName>
    <definedName name="ZeitInkrement">Manuell!$J$3</definedName>
    <definedName name="Zeitzone" localSheetId="1">Automatik!$O$5</definedName>
    <definedName name="Zeitzone" localSheetId="0">Manuell!$N$3</definedName>
  </definedNames>
  <calcPr calcId="171027"/>
</workbook>
</file>

<file path=xl/calcChain.xml><?xml version="1.0" encoding="utf-8"?>
<calcChain xmlns="http://schemas.openxmlformats.org/spreadsheetml/2006/main">
  <c r="O34" i="2" l="1"/>
  <c r="P34" i="2"/>
  <c r="O35" i="2"/>
  <c r="P35" i="2"/>
  <c r="O36" i="2"/>
  <c r="P36" i="2"/>
  <c r="O37" i="2"/>
  <c r="P37" i="2"/>
  <c r="O38" i="2"/>
  <c r="P38" i="2"/>
  <c r="O39" i="2"/>
  <c r="P39" i="2"/>
  <c r="O40" i="2"/>
  <c r="P40" i="2"/>
  <c r="O41" i="2"/>
  <c r="P41" i="2"/>
  <c r="O42" i="2"/>
  <c r="P42" i="2"/>
  <c r="O43" i="2"/>
  <c r="P43" i="2"/>
  <c r="O44" i="2"/>
  <c r="P44" i="2"/>
  <c r="O45" i="2"/>
  <c r="P45" i="2"/>
  <c r="O46" i="2"/>
  <c r="P46" i="2"/>
  <c r="O47" i="2"/>
  <c r="P47" i="2"/>
  <c r="O48" i="2"/>
  <c r="P48" i="2"/>
  <c r="O49" i="2"/>
  <c r="P49" i="2"/>
  <c r="O50" i="2"/>
  <c r="P50" i="2"/>
  <c r="O51" i="2"/>
  <c r="P51" i="2"/>
  <c r="O52" i="2"/>
  <c r="P52" i="2"/>
  <c r="O53" i="2"/>
  <c r="P53" i="2"/>
  <c r="O54" i="2"/>
  <c r="P54" i="2"/>
  <c r="O55" i="2"/>
  <c r="P55" i="2"/>
  <c r="O56" i="2"/>
  <c r="P56" i="2"/>
  <c r="O57" i="2"/>
  <c r="P57" i="2"/>
  <c r="O58" i="2"/>
  <c r="P58" i="2"/>
  <c r="O59" i="2"/>
  <c r="P59" i="2"/>
  <c r="O60" i="2"/>
  <c r="P60" i="2"/>
  <c r="O61" i="2"/>
  <c r="P61" i="2"/>
  <c r="O62" i="2"/>
  <c r="P62" i="2"/>
  <c r="O63" i="2"/>
  <c r="P63" i="2"/>
  <c r="O64" i="2"/>
  <c r="P64" i="2"/>
  <c r="O65" i="2"/>
  <c r="P65" i="2"/>
  <c r="O66" i="2"/>
  <c r="P66" i="2"/>
  <c r="O67" i="2"/>
  <c r="P67" i="2"/>
  <c r="O68" i="2"/>
  <c r="P68" i="2"/>
  <c r="O69" i="2"/>
  <c r="P69" i="2"/>
  <c r="O70" i="2"/>
  <c r="P70" i="2"/>
  <c r="O71" i="2"/>
  <c r="P71" i="2"/>
  <c r="O72" i="2"/>
  <c r="P72" i="2"/>
  <c r="O73" i="2"/>
  <c r="P73" i="2"/>
  <c r="O74" i="2"/>
  <c r="P74" i="2"/>
  <c r="O75" i="2"/>
  <c r="P75" i="2"/>
  <c r="O76" i="2"/>
  <c r="P76" i="2"/>
  <c r="O77" i="2"/>
  <c r="P77" i="2"/>
  <c r="O78" i="2"/>
  <c r="P78" i="2"/>
  <c r="O79" i="2"/>
  <c r="P79" i="2"/>
  <c r="O80" i="2"/>
  <c r="P80" i="2"/>
  <c r="O81" i="2"/>
  <c r="P81" i="2"/>
  <c r="O82" i="2"/>
  <c r="P82" i="2"/>
  <c r="O83" i="2"/>
  <c r="P83" i="2"/>
  <c r="O84" i="2"/>
  <c r="P84" i="2"/>
  <c r="O85" i="2"/>
  <c r="P85" i="2"/>
  <c r="O86" i="2"/>
  <c r="P86" i="2"/>
  <c r="O87" i="2"/>
  <c r="P87" i="2"/>
  <c r="O88" i="2"/>
  <c r="P88" i="2"/>
  <c r="O89" i="2"/>
  <c r="P89" i="2"/>
  <c r="O90" i="2"/>
  <c r="P90" i="2"/>
  <c r="O91" i="2"/>
  <c r="P91" i="2"/>
  <c r="O92" i="2"/>
  <c r="P92" i="2"/>
  <c r="O93" i="2"/>
  <c r="P93" i="2"/>
  <c r="O94" i="2"/>
  <c r="P94" i="2"/>
  <c r="O95" i="2"/>
  <c r="P95" i="2"/>
  <c r="O96" i="2"/>
  <c r="P96" i="2"/>
  <c r="O97" i="2"/>
  <c r="P97" i="2"/>
  <c r="O98" i="2"/>
  <c r="P98" i="2"/>
  <c r="O99" i="2"/>
  <c r="P99" i="2"/>
  <c r="O100" i="2"/>
  <c r="P100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N76" i="2"/>
  <c r="N85" i="2"/>
  <c r="N101" i="2"/>
  <c r="N98" i="2"/>
  <c r="N102" i="2"/>
  <c r="N106" i="2"/>
  <c r="N109" i="2"/>
  <c r="N74" i="2"/>
  <c r="N77" i="2"/>
  <c r="N75" i="2"/>
  <c r="N71" i="2"/>
  <c r="N105" i="2"/>
  <c r="N90" i="2"/>
  <c r="N108" i="2"/>
  <c r="N72" i="2"/>
  <c r="N79" i="2"/>
  <c r="N113" i="2"/>
  <c r="N89" i="2"/>
  <c r="N95" i="2"/>
  <c r="N112" i="2"/>
  <c r="N104" i="2"/>
  <c r="N110" i="2"/>
  <c r="N92" i="2"/>
  <c r="N88" i="2"/>
  <c r="N81" i="2"/>
  <c r="N93" i="2"/>
  <c r="N99" i="2"/>
  <c r="N73" i="2"/>
  <c r="N103" i="2"/>
  <c r="N86" i="2"/>
  <c r="N80" i="2"/>
  <c r="N97" i="2"/>
  <c r="N84" i="2"/>
  <c r="N78" i="2"/>
  <c r="N111" i="2"/>
  <c r="N96" i="2"/>
  <c r="N107" i="2"/>
  <c r="N94" i="2"/>
  <c r="N100" i="2"/>
  <c r="N87" i="2"/>
  <c r="N82" i="2"/>
  <c r="N83" i="2"/>
  <c r="N91" i="2"/>
  <c r="N50" i="2"/>
  <c r="N65" i="2"/>
  <c r="N48" i="2"/>
  <c r="N61" i="2"/>
  <c r="N38" i="2"/>
  <c r="N37" i="2"/>
  <c r="N45" i="2"/>
  <c r="N35" i="2"/>
  <c r="N34" i="2"/>
  <c r="N36" i="2"/>
  <c r="N51" i="2"/>
  <c r="N60" i="2"/>
  <c r="N62" i="2"/>
  <c r="N39" i="2"/>
  <c r="N66" i="2"/>
  <c r="N47" i="2"/>
  <c r="N49" i="2"/>
  <c r="N42" i="2"/>
  <c r="N43" i="2"/>
  <c r="N41" i="2"/>
  <c r="N52" i="2"/>
  <c r="N64" i="2"/>
  <c r="N44" i="2"/>
  <c r="N54" i="2"/>
  <c r="N53" i="2"/>
  <c r="N58" i="2"/>
  <c r="N69" i="2"/>
  <c r="N59" i="2"/>
  <c r="N56" i="2"/>
  <c r="N67" i="2"/>
  <c r="N68" i="2"/>
  <c r="N57" i="2"/>
  <c r="N55" i="2"/>
  <c r="N63" i="2"/>
  <c r="N46" i="2"/>
  <c r="N40" i="2"/>
  <c r="N70" i="2"/>
  <c r="P9" i="2" l="1"/>
  <c r="O13" i="2" l="1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N19" i="2"/>
  <c r="N23" i="2"/>
  <c r="N20" i="2"/>
  <c r="N21" i="2"/>
  <c r="N32" i="2"/>
  <c r="N28" i="2"/>
  <c r="N18" i="2"/>
  <c r="N26" i="2"/>
  <c r="N16" i="2"/>
  <c r="N33" i="2"/>
  <c r="N24" i="2"/>
  <c r="N22" i="2"/>
  <c r="N14" i="2"/>
  <c r="N13" i="2"/>
  <c r="N17" i="2"/>
  <c r="N15" i="2"/>
  <c r="N31" i="2"/>
  <c r="N27" i="2"/>
  <c r="N25" i="2"/>
  <c r="N30" i="2"/>
  <c r="N29" i="2"/>
  <c r="O9" i="2" l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P12" i="2"/>
  <c r="P7" i="2" s="1"/>
  <c r="O12" i="2"/>
  <c r="N11" i="1"/>
  <c r="M11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15" i="1"/>
  <c r="N15" i="1"/>
  <c r="M16" i="1"/>
  <c r="N16" i="1"/>
  <c r="M14" i="1"/>
  <c r="N14" i="1"/>
  <c r="N6" i="1" l="1"/>
  <c r="L284" i="1"/>
  <c r="L287" i="1"/>
  <c r="L11" i="1"/>
  <c r="L286" i="1"/>
  <c r="N9" i="2"/>
  <c r="L285" i="1"/>
  <c r="L282" i="1"/>
  <c r="N12" i="2"/>
  <c r="L288" i="1"/>
  <c r="L289" i="1"/>
  <c r="L290" i="1"/>
  <c r="L283" i="1"/>
  <c r="L230" i="1"/>
  <c r="L278" i="1"/>
  <c r="L214" i="1"/>
  <c r="L150" i="1"/>
  <c r="L86" i="1"/>
  <c r="L22" i="1"/>
  <c r="L241" i="1"/>
  <c r="L177" i="1"/>
  <c r="L113" i="1"/>
  <c r="L260" i="1"/>
  <c r="L132" i="1"/>
  <c r="L25" i="1"/>
  <c r="L187" i="1"/>
  <c r="L61" i="1"/>
  <c r="L232" i="1"/>
  <c r="L104" i="1"/>
  <c r="L279" i="1"/>
  <c r="L151" i="1"/>
  <c r="L37" i="1"/>
  <c r="L190" i="1"/>
  <c r="L62" i="1"/>
  <c r="L217" i="1"/>
  <c r="L105" i="1"/>
  <c r="L148" i="1"/>
  <c r="L203" i="1"/>
  <c r="L216" i="1"/>
  <c r="L263" i="1"/>
  <c r="L48" i="1"/>
  <c r="L138" i="1"/>
  <c r="L149" i="1"/>
  <c r="L204" i="1"/>
  <c r="L226" i="1"/>
  <c r="L162" i="1"/>
  <c r="L98" i="1"/>
  <c r="L34" i="1"/>
  <c r="L253" i="1"/>
  <c r="L189" i="1"/>
  <c r="L125" i="1"/>
  <c r="L156" i="1"/>
  <c r="L41" i="1"/>
  <c r="L211" i="1"/>
  <c r="L83" i="1"/>
  <c r="L256" i="1"/>
  <c r="L128" i="1"/>
  <c r="L23" i="1"/>
  <c r="L175" i="1"/>
  <c r="L53" i="1"/>
  <c r="L222" i="1"/>
  <c r="L110" i="1"/>
  <c r="L265" i="1"/>
  <c r="L121" i="1"/>
  <c r="L116" i="1"/>
  <c r="L171" i="1"/>
  <c r="L248" i="1"/>
  <c r="L17" i="1"/>
  <c r="L27" i="1"/>
  <c r="L218" i="1"/>
  <c r="L90" i="1"/>
  <c r="L245" i="1"/>
  <c r="L133" i="1"/>
  <c r="L172" i="1"/>
  <c r="L163" i="1"/>
  <c r="L255" i="1"/>
  <c r="L195" i="1"/>
  <c r="L259" i="1"/>
  <c r="L55" i="1"/>
  <c r="L99" i="1"/>
  <c r="L64" i="1"/>
  <c r="L198" i="1"/>
  <c r="L134" i="1"/>
  <c r="L70" i="1"/>
  <c r="L225" i="1"/>
  <c r="L161" i="1"/>
  <c r="L97" i="1"/>
  <c r="L228" i="1"/>
  <c r="L100" i="1"/>
  <c r="L155" i="1"/>
  <c r="L40" i="1"/>
  <c r="L200" i="1"/>
  <c r="L72" i="1"/>
  <c r="L247" i="1"/>
  <c r="L119" i="1"/>
  <c r="L16" i="1"/>
  <c r="L158" i="1"/>
  <c r="L30" i="1"/>
  <c r="L185" i="1"/>
  <c r="L73" i="1"/>
  <c r="L84" i="1"/>
  <c r="L139" i="1"/>
  <c r="L152" i="1"/>
  <c r="L199" i="1"/>
  <c r="L266" i="1"/>
  <c r="L106" i="1"/>
  <c r="L261" i="1"/>
  <c r="L117" i="1"/>
  <c r="L140" i="1"/>
  <c r="L274" i="1"/>
  <c r="L210" i="1"/>
  <c r="L146" i="1"/>
  <c r="L82" i="1"/>
  <c r="L18" i="1"/>
  <c r="L237" i="1"/>
  <c r="L173" i="1"/>
  <c r="L109" i="1"/>
  <c r="L252" i="1"/>
  <c r="L124" i="1"/>
  <c r="L20" i="1"/>
  <c r="L179" i="1"/>
  <c r="L56" i="1"/>
  <c r="L224" i="1"/>
  <c r="L96" i="1"/>
  <c r="L271" i="1"/>
  <c r="L143" i="1"/>
  <c r="L270" i="1"/>
  <c r="L206" i="1"/>
  <c r="L78" i="1"/>
  <c r="L233" i="1"/>
  <c r="L89" i="1"/>
  <c r="L57" i="1"/>
  <c r="L107" i="1"/>
  <c r="L184" i="1"/>
  <c r="L231" i="1"/>
  <c r="L186" i="1"/>
  <c r="L58" i="1"/>
  <c r="L229" i="1"/>
  <c r="L101" i="1"/>
  <c r="L108" i="1"/>
  <c r="L45" i="1"/>
  <c r="L262" i="1"/>
  <c r="L246" i="1"/>
  <c r="L182" i="1"/>
  <c r="L54" i="1"/>
  <c r="L257" i="1"/>
  <c r="L129" i="1"/>
  <c r="L164" i="1"/>
  <c r="L251" i="1"/>
  <c r="L19" i="1"/>
  <c r="L49" i="1"/>
  <c r="L87" i="1"/>
  <c r="L126" i="1"/>
  <c r="L169" i="1"/>
  <c r="L36" i="1"/>
  <c r="L88" i="1"/>
  <c r="L202" i="1"/>
  <c r="L268" i="1"/>
  <c r="L258" i="1"/>
  <c r="L130" i="1"/>
  <c r="L157" i="1"/>
  <c r="L63" i="1"/>
  <c r="L115" i="1"/>
  <c r="L160" i="1"/>
  <c r="L207" i="1"/>
  <c r="L238" i="1"/>
  <c r="L14" i="1"/>
  <c r="L180" i="1"/>
  <c r="L29" i="1"/>
  <c r="L71" i="1"/>
  <c r="L154" i="1"/>
  <c r="L197" i="1"/>
  <c r="L52" i="1"/>
  <c r="L127" i="1"/>
  <c r="L176" i="1"/>
  <c r="L272" i="1"/>
  <c r="L112" i="1"/>
  <c r="L123" i="1"/>
  <c r="L215" i="1"/>
  <c r="L281" i="1"/>
  <c r="L75" i="1"/>
  <c r="L74" i="1"/>
  <c r="L31" i="1"/>
  <c r="L66" i="1"/>
  <c r="L93" i="1"/>
  <c r="L243" i="1"/>
  <c r="L79" i="1"/>
  <c r="L153" i="1"/>
  <c r="L60" i="1"/>
  <c r="L26" i="1"/>
  <c r="L208" i="1"/>
  <c r="L131" i="1"/>
  <c r="L33" i="1"/>
  <c r="L273" i="1"/>
  <c r="L145" i="1"/>
  <c r="L196" i="1"/>
  <c r="L136" i="1"/>
  <c r="L249" i="1"/>
  <c r="L280" i="1"/>
  <c r="L42" i="1"/>
  <c r="L178" i="1"/>
  <c r="L205" i="1"/>
  <c r="L92" i="1"/>
  <c r="L192" i="1"/>
  <c r="L254" i="1"/>
  <c r="L276" i="1"/>
  <c r="L135" i="1"/>
  <c r="L277" i="1"/>
  <c r="L80" i="1"/>
  <c r="L24" i="1"/>
  <c r="L67" i="1"/>
  <c r="L166" i="1"/>
  <c r="L38" i="1"/>
  <c r="L209" i="1"/>
  <c r="L81" i="1"/>
  <c r="L68" i="1"/>
  <c r="L219" i="1"/>
  <c r="L264" i="1"/>
  <c r="L28" i="1"/>
  <c r="L59" i="1"/>
  <c r="L94" i="1"/>
  <c r="L137" i="1"/>
  <c r="L267" i="1"/>
  <c r="L39" i="1"/>
  <c r="L170" i="1"/>
  <c r="L213" i="1"/>
  <c r="L76" i="1"/>
  <c r="L242" i="1"/>
  <c r="L114" i="1"/>
  <c r="L269" i="1"/>
  <c r="L141" i="1"/>
  <c r="L220" i="1"/>
  <c r="L275" i="1"/>
  <c r="L35" i="1"/>
  <c r="L65" i="1"/>
  <c r="L111" i="1"/>
  <c r="L174" i="1"/>
  <c r="L201" i="1"/>
  <c r="L15" i="1"/>
  <c r="L120" i="1"/>
  <c r="L122" i="1"/>
  <c r="L165" i="1"/>
  <c r="L21" i="1"/>
  <c r="L43" i="1"/>
  <c r="L223" i="1"/>
  <c r="L144" i="1"/>
  <c r="L159" i="1"/>
  <c r="L118" i="1"/>
  <c r="L193" i="1"/>
  <c r="L47" i="1"/>
  <c r="L168" i="1"/>
  <c r="L32" i="1"/>
  <c r="L244" i="1"/>
  <c r="L167" i="1"/>
  <c r="L181" i="1"/>
  <c r="L194" i="1"/>
  <c r="L221" i="1"/>
  <c r="L188" i="1"/>
  <c r="L44" i="1"/>
  <c r="L142" i="1"/>
  <c r="L235" i="1"/>
  <c r="L250" i="1"/>
  <c r="L69" i="1"/>
  <c r="L191" i="1"/>
  <c r="L95" i="1"/>
  <c r="L102" i="1"/>
  <c r="L91" i="1"/>
  <c r="L183" i="1"/>
  <c r="L212" i="1"/>
  <c r="L103" i="1"/>
  <c r="L85" i="1"/>
  <c r="L50" i="1"/>
  <c r="L77" i="1"/>
  <c r="L147" i="1"/>
  <c r="L239" i="1"/>
  <c r="L46" i="1"/>
  <c r="L51" i="1"/>
  <c r="L234" i="1"/>
  <c r="L236" i="1"/>
  <c r="L240" i="1"/>
  <c r="L227" i="1"/>
</calcChain>
</file>

<file path=xl/comments1.xml><?xml version="1.0" encoding="utf-8"?>
<comments xmlns="http://schemas.openxmlformats.org/spreadsheetml/2006/main">
  <authors>
    <author>Fred Sonnenrein</author>
  </authors>
  <commentList>
    <comment ref="L8" authorId="0" shapeId="0">
      <text>
        <r>
          <rPr>
            <b/>
            <sz val="9"/>
            <color indexed="81"/>
            <rFont val="Segoe UI"/>
            <family val="2"/>
          </rPr>
          <t>Zeit die für die Syncronisation zwischen den Servern benötigt wird</t>
        </r>
      </text>
    </comment>
  </commentList>
</comments>
</file>

<file path=xl/sharedStrings.xml><?xml version="1.0" encoding="utf-8"?>
<sst xmlns="http://schemas.openxmlformats.org/spreadsheetml/2006/main" count="170" uniqueCount="107">
  <si>
    <t>Port:</t>
  </si>
  <si>
    <t>Geheimzahl:</t>
  </si>
  <si>
    <t>Nummer</t>
  </si>
  <si>
    <t>Name</t>
  </si>
  <si>
    <t>Flags</t>
  </si>
  <si>
    <t>Typ</t>
  </si>
  <si>
    <t>Adresse</t>
  </si>
  <si>
    <t>IP</t>
  </si>
  <si>
    <t>Port</t>
  </si>
  <si>
    <t>Durchwahl</t>
  </si>
  <si>
    <t>Geheimzahl</t>
  </si>
  <si>
    <t>Datum</t>
  </si>
  <si>
    <t>Größe (Bytes)</t>
  </si>
  <si>
    <t>Suchmuster:</t>
  </si>
  <si>
    <t>GMT +X:</t>
  </si>
  <si>
    <t>IP (roh)</t>
  </si>
  <si>
    <t>Datum (roh)</t>
  </si>
  <si>
    <t>Adresse TlnServer:</t>
  </si>
  <si>
    <t>Port TlnServer:</t>
  </si>
  <si>
    <t>Abfrage:</t>
  </si>
  <si>
    <t>Pin:</t>
  </si>
  <si>
    <t>DynIP Nummer:</t>
  </si>
  <si>
    <t>01 und 02 Telegramm:</t>
  </si>
  <si>
    <t>03, 04 und 05 Telegramm:</t>
  </si>
  <si>
    <t>0a und 05 Telegramm:</t>
  </si>
  <si>
    <t>06, 07 und 05 Telegramm:</t>
  </si>
  <si>
    <t>Zeit-Inkrem.</t>
  </si>
  <si>
    <t>sonnibs.no-ip.org</t>
  </si>
  <si>
    <t>Muster:</t>
  </si>
  <si>
    <t>Alex, Dresden T1000S/MD</t>
  </si>
  <si>
    <t>Alexander, Bremen</t>
  </si>
  <si>
    <t>it-ulbrich.de</t>
  </si>
  <si>
    <t>Alex, Dresden T1200SD</t>
  </si>
  <si>
    <t>telex.dyndns.org</t>
  </si>
  <si>
    <t>test.aenderung</t>
  </si>
  <si>
    <t>Anders, Turku (FI)</t>
  </si>
  <si>
    <t>zsgx.dy.fi</t>
  </si>
  <si>
    <t>Anders, Turku (FI) Testplatz</t>
  </si>
  <si>
    <t>Andreas, Giesen T37</t>
  </si>
  <si>
    <t>andreasitelex.firewall-gateway.com</t>
  </si>
  <si>
    <t>Andreas, Giesen/Hildesheim</t>
  </si>
  <si>
    <t>Andreas, Homberg T68d</t>
  </si>
  <si>
    <t>Andreas, Meuselwitz FS200Z</t>
  </si>
  <si>
    <t>Andreas, Neundorf b. Bad Lobenstein</t>
  </si>
  <si>
    <t>Arie, Assen (NL) T1000</t>
  </si>
  <si>
    <t>Bjoern, Versmold</t>
  </si>
  <si>
    <t>Christian, Koeln T100</t>
  </si>
  <si>
    <t>blockhebel.no-ip.org</t>
  </si>
  <si>
    <t>Christoph, Geisenfeld Lo15</t>
  </si>
  <si>
    <t>Daniel, Schwaeb.Gmuend</t>
  </si>
  <si>
    <t>Detlef, Berlin</t>
  </si>
  <si>
    <t>Deutsches Technikmuseum, Berlin</t>
  </si>
  <si>
    <t>Diana, Bad Vilbel T1000</t>
  </si>
  <si>
    <t>Dirk, Norderstedt T37i</t>
  </si>
  <si>
    <t>Eisenbahnmuseum Stw W3, Schwarzenberg</t>
  </si>
  <si>
    <t>Fernmeldemuseum, Aachen</t>
  </si>
  <si>
    <t>Fernmeldemuseum, Dresden</t>
  </si>
  <si>
    <t>Fieldweek Peine 2016</t>
  </si>
  <si>
    <t>restic.ddns.net</t>
  </si>
  <si>
    <t>Finn, Westgrossefehn T37</t>
  </si>
  <si>
    <t>Florian, Tacherting T100S</t>
  </si>
  <si>
    <t>Frank, Grefrath FS220Z</t>
  </si>
  <si>
    <t>Frank, Grefrath T1000S</t>
  </si>
  <si>
    <t>Franz, Dreieich FS220Z</t>
  </si>
  <si>
    <t>Dino, Abano Terme (IT) T1000Z</t>
  </si>
  <si>
    <t>Carsten, Eisenberg T1000</t>
  </si>
  <si>
    <t>Franz, Dreieich Lo3000</t>
  </si>
  <si>
    <t>df2ar.dnshome.de</t>
  </si>
  <si>
    <t>Schritt</t>
  </si>
  <si>
    <t>Mustereintrag</t>
  </si>
  <si>
    <t>#</t>
  </si>
  <si>
    <t>Server-PIN</t>
  </si>
  <si>
    <t>Carsten, Eisenberg T68d</t>
  </si>
  <si>
    <t>kasma.srvdns.de</t>
  </si>
  <si>
    <t>Bjoern, Versmold Werkstattw. T100S</t>
  </si>
  <si>
    <t>spolk.ddns.net</t>
  </si>
  <si>
    <t>?</t>
  </si>
  <si>
    <t>Resultat</t>
  </si>
  <si>
    <t>Sync-Dauer</t>
  </si>
  <si>
    <t>DW</t>
  </si>
  <si>
    <t>-----</t>
  </si>
  <si>
    <t>Debug-Info</t>
  </si>
  <si>
    <t>Debug-Ausgabe</t>
  </si>
  <si>
    <t>Testeintrag fuer Server-Test</t>
  </si>
  <si>
    <t>telexgateway.de</t>
  </si>
  <si>
    <t>Testeintrag fuer Server-Test DuWa 01</t>
  </si>
  <si>
    <t>Testeintrag fuer Server-Test Typ0</t>
  </si>
  <si>
    <t>Typen Senden 1</t>
  </si>
  <si>
    <t>ok</t>
  </si>
  <si>
    <t>Typen Lesen 1 NrAbfr</t>
  </si>
  <si>
    <t>ok: nicht gefunden</t>
  </si>
  <si>
    <t>Typen Lesen 1 NameAbfr</t>
  </si>
  <si>
    <t>Franz, Lund (SE) T68d</t>
  </si>
  <si>
    <t>finis.hennies.org</t>
  </si>
  <si>
    <t>Finn, Westgrossef. Telegrammdienst T68d</t>
  </si>
  <si>
    <t>Typen Lesen 1 AsciiAbfr</t>
  </si>
  <si>
    <t>Testeintrag fuer Server-Test Typ1</t>
  </si>
  <si>
    <t>ok (verweigert) / SendeDynIPAktualisierung(1): Timeout beim Warten auf Antwort</t>
  </si>
  <si>
    <t>Testeintrag fuer Server-Test Typ2</t>
  </si>
  <si>
    <t>e</t>
  </si>
  <si>
    <t>max 102 &lt;-- 05 64 [102]</t>
  </si>
  <si>
    <t>max 102 &lt;-- 09 00 [2]</t>
  </si>
  <si>
    <t>Typen Lesen 1 VollAbfr</t>
  </si>
  <si>
    <t>DynIP Anfrage</t>
  </si>
  <si>
    <t>DynIP VollAbfr</t>
  </si>
  <si>
    <t>ok: Neu angelegt</t>
  </si>
  <si>
    <t>DynIP NachDyn NrAbfr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</si>
</sst>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top"/>
    </xf>
  </cellStyleXfs>
  <cellXfs count="47">
    <xf numFmtId="0" fontId="0" fillId="0" borderId="0" xfId="0">
      <alignment vertical="top"/>
    </xf>
    <xf numFmtId="0" fontId="0" fillId="0" borderId="0" xfId="0" applyNumberFormat="1">
      <alignment vertical="top"/>
    </xf>
    <xf numFmtId="0" fontId="2" fillId="0" borderId="0" xfId="0" applyFont="1">
      <alignment vertical="top"/>
    </xf>
    <xf numFmtId="164" fontId="0" fillId="0" borderId="0" xfId="0" applyNumberFormat="1">
      <alignment vertical="top"/>
    </xf>
    <xf numFmtId="0" fontId="0" fillId="0" borderId="0" xfId="0" applyNumberFormat="1" applyAlignment="1">
      <alignment horizontal="center" vertical="top"/>
    </xf>
    <xf numFmtId="0" fontId="3" fillId="2" borderId="1" xfId="0" applyFont="1" applyFill="1" applyBorder="1">
      <alignment vertical="top"/>
    </xf>
    <xf numFmtId="0" fontId="3" fillId="0" borderId="2" xfId="0" applyFont="1" applyBorder="1" applyAlignment="1">
      <alignment horizontal="center" vertical="top"/>
    </xf>
    <xf numFmtId="0" fontId="0" fillId="0" borderId="0" xfId="0" applyBorder="1">
      <alignment vertical="top"/>
    </xf>
    <xf numFmtId="0" fontId="3" fillId="2" borderId="3" xfId="0" applyFont="1" applyFill="1" applyBorder="1">
      <alignment vertical="top"/>
    </xf>
    <xf numFmtId="0" fontId="3" fillId="2" borderId="4" xfId="0" applyFont="1" applyFill="1" applyBorder="1">
      <alignment vertical="top"/>
    </xf>
    <xf numFmtId="0" fontId="1" fillId="3" borderId="0" xfId="0" applyFont="1" applyFill="1">
      <alignment vertical="top"/>
    </xf>
    <xf numFmtId="0" fontId="1" fillId="3" borderId="0" xfId="0" applyFont="1" applyFill="1" applyAlignment="1">
      <alignment horizontal="center" vertical="top"/>
    </xf>
    <xf numFmtId="0" fontId="0" fillId="3" borderId="0" xfId="0" applyFill="1">
      <alignment vertical="top"/>
    </xf>
    <xf numFmtId="0" fontId="3" fillId="3" borderId="0" xfId="0" applyFont="1" applyFill="1">
      <alignment vertical="top"/>
    </xf>
    <xf numFmtId="0" fontId="3" fillId="0" borderId="5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0" fillId="4" borderId="6" xfId="0" applyFill="1" applyBorder="1">
      <alignment vertical="top"/>
    </xf>
    <xf numFmtId="0" fontId="0" fillId="4" borderId="2" xfId="0" applyFill="1" applyBorder="1">
      <alignment vertical="top"/>
    </xf>
    <xf numFmtId="0" fontId="0" fillId="4" borderId="5" xfId="0" applyFill="1" applyBorder="1">
      <alignment vertical="top"/>
    </xf>
    <xf numFmtId="0" fontId="0" fillId="4" borderId="0" xfId="0" applyFill="1" applyBorder="1">
      <alignment vertical="top"/>
    </xf>
    <xf numFmtId="0" fontId="0" fillId="4" borderId="7" xfId="0" applyFill="1" applyBorder="1">
      <alignment vertical="top"/>
    </xf>
    <xf numFmtId="0" fontId="0" fillId="4" borderId="8" xfId="0" applyFill="1" applyBorder="1">
      <alignment vertical="top"/>
    </xf>
    <xf numFmtId="0" fontId="0" fillId="4" borderId="9" xfId="0" applyFill="1" applyBorder="1">
      <alignment vertical="top"/>
    </xf>
    <xf numFmtId="0" fontId="0" fillId="4" borderId="10" xfId="0" applyFill="1" applyBorder="1">
      <alignment vertical="top"/>
    </xf>
    <xf numFmtId="0" fontId="1" fillId="2" borderId="1" xfId="0" applyFont="1" applyFill="1" applyBorder="1" applyAlignment="1">
      <alignment horizontal="center" vertical="top"/>
    </xf>
    <xf numFmtId="1" fontId="3" fillId="0" borderId="2" xfId="0" applyNumberFormat="1" applyFont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1" fillId="0" borderId="6" xfId="0" applyFont="1" applyBorder="1" applyAlignment="1">
      <alignment horizontal="center" vertical="top"/>
    </xf>
    <xf numFmtId="0" fontId="1" fillId="2" borderId="11" xfId="0" applyFont="1" applyFill="1" applyBorder="1">
      <alignment vertical="top"/>
    </xf>
    <xf numFmtId="0" fontId="4" fillId="0" borderId="7" xfId="0" applyFont="1" applyBorder="1" applyAlignment="1">
      <alignment horizontal="center" vertical="top"/>
    </xf>
    <xf numFmtId="3" fontId="1" fillId="0" borderId="2" xfId="0" applyNumberFormat="1" applyFont="1" applyBorder="1" applyAlignment="1">
      <alignment horizontal="center" vertical="top"/>
    </xf>
    <xf numFmtId="0" fontId="4" fillId="5" borderId="0" xfId="0" applyFont="1" applyFill="1">
      <alignment vertical="top"/>
    </xf>
    <xf numFmtId="0" fontId="1" fillId="0" borderId="2" xfId="0" applyNumberFormat="1" applyFont="1" applyBorder="1" applyAlignment="1">
      <alignment horizontal="center" vertical="top"/>
    </xf>
    <xf numFmtId="0" fontId="1" fillId="6" borderId="0" xfId="0" applyFont="1" applyFill="1">
      <alignment vertical="top"/>
    </xf>
    <xf numFmtId="0" fontId="3" fillId="6" borderId="0" xfId="0" applyFont="1" applyFill="1">
      <alignment vertical="top"/>
    </xf>
    <xf numFmtId="0" fontId="0" fillId="0" borderId="0" xfId="0" quotePrefix="1">
      <alignment vertical="top"/>
    </xf>
    <xf numFmtId="0" fontId="1" fillId="6" borderId="1" xfId="0" applyFont="1" applyFill="1" applyBorder="1" applyAlignment="1">
      <alignment horizontal="center" vertical="top"/>
    </xf>
    <xf numFmtId="0" fontId="0" fillId="7" borderId="0" xfId="0" applyFill="1">
      <alignment vertical="top"/>
    </xf>
    <xf numFmtId="0" fontId="0" fillId="8" borderId="0" xfId="0" applyFill="1">
      <alignment vertical="top"/>
    </xf>
    <xf numFmtId="0" fontId="1" fillId="6" borderId="3" xfId="0" applyFont="1" applyFill="1" applyBorder="1" applyAlignment="1">
      <alignment horizontal="center" vertical="top"/>
    </xf>
    <xf numFmtId="0" fontId="3" fillId="6" borderId="4" xfId="0" applyFont="1" applyFill="1" applyBorder="1" applyAlignment="1">
      <alignment horizontal="center" vertical="top"/>
    </xf>
    <xf numFmtId="0" fontId="3" fillId="6" borderId="11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</cellXfs>
  <cellStyles count="1">
    <cellStyle name="Standard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</xdr:row>
          <xdr:rowOff>47625</xdr:rowOff>
        </xdr:from>
        <xdr:to>
          <xdr:col>9</xdr:col>
          <xdr:colOff>628650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47625</xdr:rowOff>
        </xdr:from>
        <xdr:to>
          <xdr:col>9</xdr:col>
          <xdr:colOff>628650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66675</xdr:rowOff>
        </xdr:from>
        <xdr:to>
          <xdr:col>4</xdr:col>
          <xdr:colOff>1771650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Suche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9</xdr:row>
          <xdr:rowOff>66675</xdr:rowOff>
        </xdr:from>
        <xdr:to>
          <xdr:col>4</xdr:col>
          <xdr:colOff>1771650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Abfrage Eintrag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7</xdr:row>
          <xdr:rowOff>66675</xdr:rowOff>
        </xdr:from>
        <xdr:to>
          <xdr:col>11</xdr:col>
          <xdr:colOff>895350</xdr:colOff>
          <xdr:row>8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7</xdr:row>
          <xdr:rowOff>47625</xdr:rowOff>
        </xdr:from>
        <xdr:to>
          <xdr:col>9</xdr:col>
          <xdr:colOff>628650</xdr:colOff>
          <xdr:row>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Einen Eintrag senden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95250</xdr:rowOff>
        </xdr:from>
        <xdr:to>
          <xdr:col>2</xdr:col>
          <xdr:colOff>771525</xdr:colOff>
          <xdr:row>5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95250</xdr:rowOff>
        </xdr:from>
        <xdr:to>
          <xdr:col>3</xdr:col>
          <xdr:colOff>2009775</xdr:colOff>
          <xdr:row>5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0F0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458"/>
  <sheetViews>
    <sheetView zoomScaleNormal="100" workbookViewId="0">
      <pane xSplit="2" ySplit="13" topLeftCell="C26" activePane="bottomRight" state="frozen"/>
      <selection pane="topRight" activeCell="C1" sqref="C1"/>
      <selection pane="bottomLeft" activeCell="A10" sqref="A10"/>
      <selection pane="bottomRight" activeCell="E33" sqref="E33"/>
    </sheetView>
  </sheetViews>
  <sheetFormatPr baseColWidth="10" defaultRowHeight="15" x14ac:dyDescent="0.25"/>
  <cols>
    <col min="1" max="1" width="14.28515625" customWidth="1"/>
    <col min="2" max="2" width="40.85546875" bestFit="1" customWidth="1"/>
    <col min="3" max="3" width="5.5703125" bestFit="1" customWidth="1"/>
    <col min="4" max="4" width="4.140625" bestFit="1" customWidth="1"/>
    <col min="5" max="5" width="27.5703125" bestFit="1" customWidth="1"/>
    <col min="6" max="6" width="12.28515625" customWidth="1"/>
    <col min="7" max="7" width="6.7109375" bestFit="1" customWidth="1"/>
    <col min="8" max="8" width="11" bestFit="1" customWidth="1"/>
    <col min="9" max="9" width="11.42578125" bestFit="1" customWidth="1"/>
    <col min="10" max="10" width="12.85546875" customWidth="1"/>
    <col min="11" max="11" width="7.85546875" bestFit="1" customWidth="1"/>
    <col min="12" max="12" width="16.42578125" customWidth="1"/>
    <col min="13" max="13" width="19.42578125" customWidth="1"/>
    <col min="14" max="14" width="13.28515625" bestFit="1" customWidth="1"/>
  </cols>
  <sheetData>
    <row r="1" spans="1:14" ht="15.75" thickBot="1" x14ac:dyDescent="0.3">
      <c r="E1" t="s">
        <v>24</v>
      </c>
      <c r="H1" t="s">
        <v>25</v>
      </c>
      <c r="L1" t="s">
        <v>22</v>
      </c>
    </row>
    <row r="2" spans="1:14" x14ac:dyDescent="0.25">
      <c r="B2" s="15" t="s">
        <v>17</v>
      </c>
      <c r="E2" s="15" t="s">
        <v>13</v>
      </c>
      <c r="H2" s="8" t="s">
        <v>1</v>
      </c>
      <c r="I2" s="9"/>
      <c r="J2" s="30" t="s">
        <v>26</v>
      </c>
      <c r="L2" s="25" t="s">
        <v>21</v>
      </c>
      <c r="N2" s="5" t="s">
        <v>14</v>
      </c>
    </row>
    <row r="3" spans="1:14" ht="15.75" thickBot="1" x14ac:dyDescent="0.3">
      <c r="B3" s="32" t="s">
        <v>27</v>
      </c>
      <c r="E3" s="29" t="s">
        <v>99</v>
      </c>
      <c r="H3" s="14">
        <v>1234512345</v>
      </c>
      <c r="I3" s="7"/>
      <c r="J3" s="31">
        <v>5</v>
      </c>
      <c r="L3" s="16">
        <v>531019</v>
      </c>
      <c r="N3" s="6">
        <v>2</v>
      </c>
    </row>
    <row r="4" spans="1:14" ht="15.75" thickBot="1" x14ac:dyDescent="0.3">
      <c r="E4" s="17"/>
      <c r="H4" s="19"/>
      <c r="I4" s="20"/>
      <c r="J4" s="21"/>
      <c r="L4" s="27" t="s">
        <v>20</v>
      </c>
    </row>
    <row r="5" spans="1:14" ht="15.75" thickBot="1" x14ac:dyDescent="0.3">
      <c r="B5" s="25" t="s">
        <v>18</v>
      </c>
      <c r="E5" s="18"/>
      <c r="H5" s="19"/>
      <c r="I5" s="20"/>
      <c r="J5" s="21"/>
      <c r="L5" s="16">
        <v>3399</v>
      </c>
    </row>
    <row r="6" spans="1:14" ht="15.75" thickBot="1" x14ac:dyDescent="0.3">
      <c r="B6" s="26">
        <v>21811</v>
      </c>
      <c r="H6" s="19"/>
      <c r="I6" s="20"/>
      <c r="J6" s="21"/>
      <c r="L6" s="27" t="s">
        <v>0</v>
      </c>
      <c r="N6" s="2">
        <f>SUM(N14:N1017)</f>
        <v>6135</v>
      </c>
    </row>
    <row r="7" spans="1:14" ht="15.75" thickBot="1" x14ac:dyDescent="0.3">
      <c r="E7" t="s">
        <v>23</v>
      </c>
      <c r="H7" s="19"/>
      <c r="I7" s="20"/>
      <c r="J7" s="21"/>
      <c r="L7" s="16">
        <v>222</v>
      </c>
    </row>
    <row r="8" spans="1:14" x14ac:dyDescent="0.25">
      <c r="E8" s="25" t="s">
        <v>19</v>
      </c>
      <c r="H8" s="19"/>
      <c r="I8" s="20"/>
      <c r="J8" s="21"/>
      <c r="L8" s="17"/>
      <c r="M8" s="28"/>
    </row>
    <row r="9" spans="1:14" ht="15.75" thickBot="1" x14ac:dyDescent="0.3">
      <c r="E9" s="16">
        <v>531019</v>
      </c>
      <c r="H9" s="22"/>
      <c r="I9" s="23"/>
      <c r="J9" s="24"/>
      <c r="L9" s="18"/>
    </row>
    <row r="10" spans="1:14" x14ac:dyDescent="0.25">
      <c r="B10" s="38" t="s">
        <v>82</v>
      </c>
      <c r="E10" s="17"/>
    </row>
    <row r="11" spans="1:14" ht="15.75" thickBot="1" x14ac:dyDescent="0.3">
      <c r="B11" s="26" t="s">
        <v>101</v>
      </c>
      <c r="E11" s="18"/>
      <c r="K11" t="s">
        <v>28</v>
      </c>
      <c r="L11" s="1" t="str">
        <f>ip_to_string(F11)</f>
        <v>0.0.0.0</v>
      </c>
      <c r="M11" s="3">
        <f>(2^32+J11)*TIME(0,0,1)+2+TIME($N$3,0,0)</f>
        <v>49712.352962962963</v>
      </c>
      <c r="N11" s="4">
        <f xml:space="preserve"> 4 + 1 + 2 + 1 + LEN(B11)+1 + 4 + IF(OR(D11=1,D11=4,D11=6),LEN(E11)+1,0) + IF(OR(D11=2,D11=3,D11=5),4,0) + 5</f>
        <v>39</v>
      </c>
    </row>
    <row r="13" spans="1:14" x14ac:dyDescent="0.25">
      <c r="A13" s="10" t="s">
        <v>2</v>
      </c>
      <c r="B13" s="10" t="s">
        <v>3</v>
      </c>
      <c r="C13" s="11" t="s">
        <v>4</v>
      </c>
      <c r="D13" s="11" t="s">
        <v>5</v>
      </c>
      <c r="E13" s="10" t="s">
        <v>6</v>
      </c>
      <c r="F13" s="11" t="s">
        <v>15</v>
      </c>
      <c r="G13" s="10" t="s">
        <v>8</v>
      </c>
      <c r="H13" s="10" t="s">
        <v>9</v>
      </c>
      <c r="I13" s="11" t="s">
        <v>10</v>
      </c>
      <c r="J13" s="10" t="s">
        <v>16</v>
      </c>
      <c r="K13" s="12"/>
      <c r="L13" s="10" t="s">
        <v>7</v>
      </c>
      <c r="M13" s="13" t="s">
        <v>11</v>
      </c>
      <c r="N13" s="10" t="s">
        <v>12</v>
      </c>
    </row>
    <row r="14" spans="1:14" x14ac:dyDescent="0.25">
      <c r="A14">
        <v>35101</v>
      </c>
      <c r="B14" t="s">
        <v>29</v>
      </c>
      <c r="C14">
        <v>0</v>
      </c>
      <c r="D14">
        <v>5</v>
      </c>
      <c r="F14">
        <v>2082114388</v>
      </c>
      <c r="G14">
        <v>134</v>
      </c>
      <c r="H14">
        <v>0</v>
      </c>
      <c r="I14">
        <v>0</v>
      </c>
      <c r="J14">
        <v>-555284331</v>
      </c>
      <c r="L14" s="1" t="str">
        <f t="shared" ref="L14:L38" si="0">ip_to_string(F14)</f>
        <v>84.139.26.124</v>
      </c>
      <c r="M14" s="3">
        <f t="shared" ref="M14:M38" si="1">(2^32+J14)*TIME(0,0,1)+2+TIME($N$3,0,0)</f>
        <v>43285.450983796298</v>
      </c>
      <c r="N14" s="4">
        <f t="shared" ref="N14:N38" si="2" xml:space="preserve"> 4 + 1 + 2 + 1 + LEN(B14)+1 + 4 + IF(OR(D14=1,D14=4,D14=6),LEN(E14)+1,0) + IF(OR(D14=2,D14=3,D14=5),4,0) + 5</f>
        <v>45</v>
      </c>
    </row>
    <row r="15" spans="1:14" x14ac:dyDescent="0.25">
      <c r="A15">
        <v>35102</v>
      </c>
      <c r="B15" t="s">
        <v>32</v>
      </c>
      <c r="C15">
        <v>0</v>
      </c>
      <c r="D15">
        <v>1</v>
      </c>
      <c r="E15" t="s">
        <v>33</v>
      </c>
      <c r="F15">
        <v>0</v>
      </c>
      <c r="G15">
        <v>134</v>
      </c>
      <c r="H15">
        <v>44</v>
      </c>
      <c r="I15">
        <v>0</v>
      </c>
      <c r="J15">
        <v>-555284311</v>
      </c>
      <c r="L15" s="1" t="str">
        <f t="shared" si="0"/>
        <v>0.0.0.0</v>
      </c>
      <c r="M15" s="3">
        <f t="shared" si="1"/>
        <v>43285.451215277775</v>
      </c>
      <c r="N15" s="4">
        <f t="shared" si="2"/>
        <v>56</v>
      </c>
    </row>
    <row r="16" spans="1:14" x14ac:dyDescent="0.25">
      <c r="A16">
        <v>33005781</v>
      </c>
      <c r="B16" t="s">
        <v>30</v>
      </c>
      <c r="C16">
        <v>0</v>
      </c>
      <c r="D16">
        <v>5</v>
      </c>
      <c r="F16">
        <v>-167917731</v>
      </c>
      <c r="G16">
        <v>134</v>
      </c>
      <c r="H16">
        <v>0</v>
      </c>
      <c r="I16">
        <v>0</v>
      </c>
      <c r="J16">
        <v>-556032950</v>
      </c>
      <c r="L16" s="1" t="str">
        <f t="shared" si="0"/>
        <v>93.199.253.245</v>
      </c>
      <c r="M16" s="3">
        <f t="shared" si="1"/>
        <v>43276.786412037036</v>
      </c>
      <c r="N16" s="4">
        <f t="shared" si="2"/>
        <v>39</v>
      </c>
    </row>
    <row r="17" spans="1:14" x14ac:dyDescent="0.25">
      <c r="A17">
        <v>121290</v>
      </c>
      <c r="B17" t="s">
        <v>35</v>
      </c>
      <c r="C17">
        <v>0</v>
      </c>
      <c r="D17">
        <v>1</v>
      </c>
      <c r="E17" t="s">
        <v>36</v>
      </c>
      <c r="F17">
        <v>0</v>
      </c>
      <c r="G17">
        <v>134</v>
      </c>
      <c r="H17">
        <v>0</v>
      </c>
      <c r="I17">
        <v>0</v>
      </c>
      <c r="J17">
        <v>-583514312</v>
      </c>
      <c r="L17" s="1" t="str">
        <f t="shared" si="0"/>
        <v>0.0.0.0</v>
      </c>
      <c r="M17" s="3">
        <f t="shared" si="1"/>
        <v>42958.715092592596</v>
      </c>
      <c r="N17" s="4">
        <f t="shared" si="2"/>
        <v>47</v>
      </c>
    </row>
    <row r="18" spans="1:14" x14ac:dyDescent="0.25">
      <c r="A18">
        <v>122267</v>
      </c>
      <c r="B18" t="s">
        <v>37</v>
      </c>
      <c r="C18">
        <v>0</v>
      </c>
      <c r="D18">
        <v>5</v>
      </c>
      <c r="F18">
        <v>-740467625</v>
      </c>
      <c r="G18">
        <v>134</v>
      </c>
      <c r="H18">
        <v>0</v>
      </c>
      <c r="I18">
        <v>0</v>
      </c>
      <c r="J18">
        <v>-586701807</v>
      </c>
      <c r="L18" s="1" t="str">
        <f t="shared" si="0"/>
        <v>87.92.221.211</v>
      </c>
      <c r="M18" s="3">
        <f t="shared" si="1"/>
        <v>42921.822789351849</v>
      </c>
      <c r="N18" s="4">
        <f t="shared" si="2"/>
        <v>50</v>
      </c>
    </row>
    <row r="19" spans="1:14" x14ac:dyDescent="0.25">
      <c r="A19">
        <v>184138</v>
      </c>
      <c r="B19" t="s">
        <v>38</v>
      </c>
      <c r="C19">
        <v>0</v>
      </c>
      <c r="D19">
        <v>1</v>
      </c>
      <c r="E19" t="s">
        <v>39</v>
      </c>
      <c r="F19">
        <v>0</v>
      </c>
      <c r="G19">
        <v>134</v>
      </c>
      <c r="H19">
        <v>42</v>
      </c>
      <c r="I19">
        <v>0</v>
      </c>
      <c r="J19">
        <v>-601995525</v>
      </c>
      <c r="L19" s="1" t="str">
        <f t="shared" si="0"/>
        <v>0.0.0.0</v>
      </c>
      <c r="M19" s="3">
        <f t="shared" si="1"/>
        <v>42744.812164351853</v>
      </c>
      <c r="N19" s="4">
        <f t="shared" si="2"/>
        <v>72</v>
      </c>
    </row>
    <row r="20" spans="1:14" x14ac:dyDescent="0.25">
      <c r="A20">
        <v>770304</v>
      </c>
      <c r="B20" t="s">
        <v>40</v>
      </c>
      <c r="C20">
        <v>0</v>
      </c>
      <c r="D20">
        <v>1</v>
      </c>
      <c r="E20" t="s">
        <v>39</v>
      </c>
      <c r="F20">
        <v>0</v>
      </c>
      <c r="G20">
        <v>134</v>
      </c>
      <c r="H20">
        <v>0</v>
      </c>
      <c r="I20">
        <v>0</v>
      </c>
      <c r="J20">
        <v>-574806881</v>
      </c>
      <c r="L20" s="1" t="str">
        <f t="shared" si="0"/>
        <v>0.0.0.0</v>
      </c>
      <c r="M20" s="3">
        <f t="shared" si="1"/>
        <v>43059.49554398148</v>
      </c>
      <c r="N20" s="4">
        <f t="shared" si="2"/>
        <v>79</v>
      </c>
    </row>
    <row r="21" spans="1:14" x14ac:dyDescent="0.25">
      <c r="A21">
        <v>99609</v>
      </c>
      <c r="B21" t="s">
        <v>41</v>
      </c>
      <c r="C21">
        <v>0</v>
      </c>
      <c r="D21">
        <v>5</v>
      </c>
      <c r="F21">
        <v>-1022833998</v>
      </c>
      <c r="G21">
        <v>134</v>
      </c>
      <c r="H21">
        <v>0</v>
      </c>
      <c r="I21">
        <v>0</v>
      </c>
      <c r="J21">
        <v>-561390272</v>
      </c>
      <c r="L21" s="1" t="str">
        <f t="shared" si="0"/>
        <v>178.202.8.195</v>
      </c>
      <c r="M21" s="3">
        <f t="shared" si="1"/>
        <v>43214.780370370368</v>
      </c>
      <c r="N21" s="4">
        <f t="shared" si="2"/>
        <v>43</v>
      </c>
    </row>
    <row r="22" spans="1:14" x14ac:dyDescent="0.25">
      <c r="A22">
        <v>740424</v>
      </c>
      <c r="B22" t="s">
        <v>42</v>
      </c>
      <c r="C22">
        <v>0</v>
      </c>
      <c r="D22">
        <v>5</v>
      </c>
      <c r="F22">
        <v>1864097854</v>
      </c>
      <c r="G22">
        <v>134</v>
      </c>
      <c r="H22">
        <v>0</v>
      </c>
      <c r="I22">
        <v>0</v>
      </c>
      <c r="J22">
        <v>-555539190</v>
      </c>
      <c r="L22" s="1" t="str">
        <f t="shared" si="0"/>
        <v>62.224.27.111</v>
      </c>
      <c r="M22" s="3">
        <f t="shared" si="1"/>
        <v>43282.501226851855</v>
      </c>
      <c r="N22" s="4">
        <f t="shared" si="2"/>
        <v>48</v>
      </c>
    </row>
    <row r="23" spans="1:14" x14ac:dyDescent="0.25">
      <c r="A23">
        <v>643804</v>
      </c>
      <c r="B23" t="s">
        <v>43</v>
      </c>
      <c r="C23">
        <v>0</v>
      </c>
      <c r="D23">
        <v>5</v>
      </c>
      <c r="F23">
        <v>511041629</v>
      </c>
      <c r="G23">
        <v>134</v>
      </c>
      <c r="H23">
        <v>0</v>
      </c>
      <c r="I23">
        <v>0</v>
      </c>
      <c r="J23">
        <v>-555217441</v>
      </c>
      <c r="L23" s="1" t="str">
        <f t="shared" si="0"/>
        <v>93.224.117.30</v>
      </c>
      <c r="M23" s="3">
        <f t="shared" si="1"/>
        <v>43286.225173611114</v>
      </c>
      <c r="N23" s="4">
        <f t="shared" si="2"/>
        <v>57</v>
      </c>
    </row>
    <row r="24" spans="1:14" x14ac:dyDescent="0.25">
      <c r="A24">
        <v>280839</v>
      </c>
      <c r="B24" t="s">
        <v>44</v>
      </c>
      <c r="C24">
        <v>0</v>
      </c>
      <c r="D24">
        <v>5</v>
      </c>
      <c r="F24">
        <v>1984641748</v>
      </c>
      <c r="G24">
        <v>134</v>
      </c>
      <c r="H24">
        <v>0</v>
      </c>
      <c r="I24">
        <v>0</v>
      </c>
      <c r="J24">
        <v>-575473506</v>
      </c>
      <c r="L24" s="1" t="str">
        <f t="shared" si="0"/>
        <v>212.58.75.118</v>
      </c>
      <c r="M24" s="3">
        <f t="shared" si="1"/>
        <v>43051.779976851853</v>
      </c>
      <c r="N24" s="4">
        <f t="shared" si="2"/>
        <v>44</v>
      </c>
    </row>
    <row r="25" spans="1:14" x14ac:dyDescent="0.25">
      <c r="A25">
        <v>932028</v>
      </c>
      <c r="B25" t="s">
        <v>45</v>
      </c>
      <c r="C25">
        <v>0</v>
      </c>
      <c r="D25">
        <v>5</v>
      </c>
      <c r="F25">
        <v>-1613588656</v>
      </c>
      <c r="G25">
        <v>134</v>
      </c>
      <c r="H25">
        <v>0</v>
      </c>
      <c r="I25">
        <v>0</v>
      </c>
      <c r="J25">
        <v>-559316388</v>
      </c>
      <c r="L25" s="1" t="str">
        <f t="shared" si="0"/>
        <v>80.151.210.159</v>
      </c>
      <c r="M25" s="3">
        <f t="shared" si="1"/>
        <v>43238.78365740741</v>
      </c>
      <c r="N25" s="4">
        <f t="shared" si="2"/>
        <v>38</v>
      </c>
    </row>
    <row r="26" spans="1:14" x14ac:dyDescent="0.25">
      <c r="A26">
        <v>74711</v>
      </c>
      <c r="B26" t="s">
        <v>74</v>
      </c>
      <c r="C26">
        <v>0</v>
      </c>
      <c r="D26">
        <v>1</v>
      </c>
      <c r="E26" t="s">
        <v>75</v>
      </c>
      <c r="F26">
        <v>0</v>
      </c>
      <c r="G26">
        <v>134</v>
      </c>
      <c r="H26">
        <v>36</v>
      </c>
      <c r="I26">
        <v>0</v>
      </c>
      <c r="J26">
        <v>-564438853</v>
      </c>
      <c r="L26" s="1" t="str">
        <f t="shared" si="0"/>
        <v>0.0.0.0</v>
      </c>
      <c r="M26" s="3">
        <f t="shared" si="1"/>
        <v>43179.495868055557</v>
      </c>
      <c r="N26" s="4">
        <f t="shared" si="2"/>
        <v>67</v>
      </c>
    </row>
    <row r="27" spans="1:14" x14ac:dyDescent="0.25">
      <c r="A27">
        <v>5215205</v>
      </c>
      <c r="B27" t="s">
        <v>65</v>
      </c>
      <c r="C27">
        <v>0</v>
      </c>
      <c r="D27">
        <v>5</v>
      </c>
      <c r="F27">
        <v>306479289</v>
      </c>
      <c r="G27">
        <v>134</v>
      </c>
      <c r="H27">
        <v>0</v>
      </c>
      <c r="I27">
        <v>0</v>
      </c>
      <c r="J27">
        <v>-564750856</v>
      </c>
      <c r="L27" s="1" t="str">
        <f t="shared" si="0"/>
        <v>185.128.68.18</v>
      </c>
      <c r="M27" s="3">
        <f t="shared" si="1"/>
        <v>43175.884722222225</v>
      </c>
      <c r="N27" s="4">
        <f t="shared" si="2"/>
        <v>46</v>
      </c>
    </row>
    <row r="28" spans="1:14" x14ac:dyDescent="0.25">
      <c r="A28">
        <v>242766</v>
      </c>
      <c r="B28" t="s">
        <v>72</v>
      </c>
      <c r="C28">
        <v>0</v>
      </c>
      <c r="D28">
        <v>1</v>
      </c>
      <c r="E28" t="s">
        <v>73</v>
      </c>
      <c r="F28">
        <v>0</v>
      </c>
      <c r="G28">
        <v>134</v>
      </c>
      <c r="H28">
        <v>44</v>
      </c>
      <c r="I28">
        <v>0</v>
      </c>
      <c r="J28">
        <v>-565463099</v>
      </c>
      <c r="L28" s="1" t="str">
        <f t="shared" si="0"/>
        <v>0.0.0.0</v>
      </c>
      <c r="M28" s="3">
        <f t="shared" si="1"/>
        <v>43167.641168981485</v>
      </c>
      <c r="N28" s="4">
        <f t="shared" si="2"/>
        <v>57</v>
      </c>
    </row>
    <row r="29" spans="1:14" x14ac:dyDescent="0.25">
      <c r="A29">
        <v>888093</v>
      </c>
      <c r="B29" t="s">
        <v>46</v>
      </c>
      <c r="C29">
        <v>0</v>
      </c>
      <c r="D29">
        <v>1</v>
      </c>
      <c r="E29" t="s">
        <v>47</v>
      </c>
      <c r="F29">
        <v>0</v>
      </c>
      <c r="G29">
        <v>134</v>
      </c>
      <c r="H29">
        <v>0</v>
      </c>
      <c r="I29">
        <v>0</v>
      </c>
      <c r="J29">
        <v>-570996069</v>
      </c>
      <c r="L29" s="1" t="str">
        <f t="shared" si="0"/>
        <v>0.0.0.0</v>
      </c>
      <c r="M29" s="3">
        <f t="shared" si="1"/>
        <v>43103.602164351854</v>
      </c>
      <c r="N29" s="4">
        <f t="shared" si="2"/>
        <v>60</v>
      </c>
    </row>
    <row r="30" spans="1:14" x14ac:dyDescent="0.25">
      <c r="A30">
        <v>55684</v>
      </c>
      <c r="B30" t="s">
        <v>48</v>
      </c>
      <c r="C30">
        <v>0</v>
      </c>
      <c r="D30">
        <v>5</v>
      </c>
      <c r="F30">
        <v>-587281571</v>
      </c>
      <c r="G30">
        <v>134</v>
      </c>
      <c r="H30">
        <v>0</v>
      </c>
      <c r="I30">
        <v>0</v>
      </c>
      <c r="J30">
        <v>-557315745</v>
      </c>
      <c r="L30" s="1" t="str">
        <f t="shared" si="0"/>
        <v>93.203.254.220</v>
      </c>
      <c r="M30" s="3">
        <f t="shared" si="1"/>
        <v>43261.939247685186</v>
      </c>
      <c r="N30" s="4">
        <f t="shared" si="2"/>
        <v>48</v>
      </c>
    </row>
    <row r="31" spans="1:14" x14ac:dyDescent="0.25">
      <c r="A31">
        <v>9998921</v>
      </c>
      <c r="B31" t="s">
        <v>49</v>
      </c>
      <c r="C31">
        <v>0</v>
      </c>
      <c r="D31">
        <v>5</v>
      </c>
      <c r="F31">
        <v>-184600236</v>
      </c>
      <c r="G31">
        <v>134</v>
      </c>
      <c r="H31">
        <v>0</v>
      </c>
      <c r="I31">
        <v>0</v>
      </c>
      <c r="J31">
        <v>-676137390</v>
      </c>
      <c r="L31" s="1" t="str">
        <f t="shared" si="0"/>
        <v>84.57.255.244</v>
      </c>
      <c r="M31" s="3">
        <f t="shared" si="1"/>
        <v>41886.688726851855</v>
      </c>
      <c r="N31" s="4">
        <f t="shared" si="2"/>
        <v>44</v>
      </c>
    </row>
    <row r="32" spans="1:14" x14ac:dyDescent="0.25">
      <c r="A32">
        <v>112276</v>
      </c>
      <c r="B32" t="s">
        <v>50</v>
      </c>
      <c r="C32">
        <v>0</v>
      </c>
      <c r="D32">
        <v>5</v>
      </c>
      <c r="F32">
        <v>138742619</v>
      </c>
      <c r="G32">
        <v>134</v>
      </c>
      <c r="H32">
        <v>0</v>
      </c>
      <c r="I32">
        <v>0</v>
      </c>
      <c r="J32">
        <v>-555224249</v>
      </c>
      <c r="L32" s="1" t="str">
        <f t="shared" si="0"/>
        <v>91.11.69.8</v>
      </c>
      <c r="M32" s="3">
        <f t="shared" si="1"/>
        <v>43286.146377314813</v>
      </c>
      <c r="N32" s="4">
        <f t="shared" si="2"/>
        <v>36</v>
      </c>
    </row>
    <row r="33" spans="1:14" x14ac:dyDescent="0.25">
      <c r="A33">
        <v>183244</v>
      </c>
      <c r="B33" t="s">
        <v>51</v>
      </c>
      <c r="C33">
        <v>0</v>
      </c>
      <c r="D33">
        <v>5</v>
      </c>
      <c r="F33">
        <v>-706223793</v>
      </c>
      <c r="G33">
        <v>134</v>
      </c>
      <c r="H33">
        <v>0</v>
      </c>
      <c r="I33">
        <v>0</v>
      </c>
      <c r="J33">
        <v>-559540057</v>
      </c>
      <c r="L33" s="1" t="str">
        <f t="shared" si="0"/>
        <v>79.225.231.213</v>
      </c>
      <c r="M33" s="3">
        <f t="shared" si="1"/>
        <v>43236.194895833331</v>
      </c>
      <c r="N33" s="4">
        <f t="shared" si="2"/>
        <v>53</v>
      </c>
    </row>
    <row r="34" spans="1:14" x14ac:dyDescent="0.25">
      <c r="A34">
        <v>250965</v>
      </c>
      <c r="B34" t="s">
        <v>52</v>
      </c>
      <c r="C34">
        <v>0</v>
      </c>
      <c r="D34">
        <v>5</v>
      </c>
      <c r="F34">
        <v>2128125780</v>
      </c>
      <c r="G34">
        <v>134</v>
      </c>
      <c r="H34">
        <v>0</v>
      </c>
      <c r="I34">
        <v>0</v>
      </c>
      <c r="J34">
        <v>-575292767</v>
      </c>
      <c r="L34" s="1" t="str">
        <f t="shared" si="0"/>
        <v>84.159.216.126</v>
      </c>
      <c r="M34" s="3">
        <f t="shared" si="1"/>
        <v>43053.871863425928</v>
      </c>
      <c r="N34" s="4">
        <f t="shared" si="2"/>
        <v>45</v>
      </c>
    </row>
    <row r="35" spans="1:14" x14ac:dyDescent="0.25">
      <c r="A35">
        <v>35031</v>
      </c>
      <c r="B35" t="s">
        <v>64</v>
      </c>
      <c r="C35">
        <v>0</v>
      </c>
      <c r="D35">
        <v>5</v>
      </c>
      <c r="F35">
        <v>644156239</v>
      </c>
      <c r="G35">
        <v>134</v>
      </c>
      <c r="H35">
        <v>0</v>
      </c>
      <c r="I35">
        <v>0</v>
      </c>
      <c r="J35">
        <v>-568409242</v>
      </c>
      <c r="L35" s="1" t="str">
        <f t="shared" si="0"/>
        <v>79.11.101.38</v>
      </c>
      <c r="M35" s="3">
        <f t="shared" si="1"/>
        <v>43133.542291666665</v>
      </c>
      <c r="N35" s="4">
        <f t="shared" si="2"/>
        <v>51</v>
      </c>
    </row>
    <row r="36" spans="1:14" x14ac:dyDescent="0.25">
      <c r="A36">
        <v>8531082</v>
      </c>
      <c r="B36" t="s">
        <v>53</v>
      </c>
      <c r="C36">
        <v>0</v>
      </c>
      <c r="D36">
        <v>5</v>
      </c>
      <c r="F36">
        <v>-222993018</v>
      </c>
      <c r="G36">
        <v>134</v>
      </c>
      <c r="H36">
        <v>0</v>
      </c>
      <c r="I36">
        <v>0</v>
      </c>
      <c r="J36">
        <v>-555219601</v>
      </c>
      <c r="L36" s="1" t="str">
        <f t="shared" si="0"/>
        <v>134.101.181.242</v>
      </c>
      <c r="M36" s="3">
        <f t="shared" si="1"/>
        <v>43286.200173611112</v>
      </c>
      <c r="N36" s="4">
        <f t="shared" si="2"/>
        <v>44</v>
      </c>
    </row>
    <row r="37" spans="1:14" x14ac:dyDescent="0.25">
      <c r="A37">
        <v>33148</v>
      </c>
      <c r="B37" t="s">
        <v>54</v>
      </c>
      <c r="C37">
        <v>0</v>
      </c>
      <c r="D37">
        <v>5</v>
      </c>
      <c r="F37">
        <v>-1885978951</v>
      </c>
      <c r="G37">
        <v>134</v>
      </c>
      <c r="H37">
        <v>0</v>
      </c>
      <c r="I37">
        <v>0</v>
      </c>
      <c r="J37">
        <v>-574806837</v>
      </c>
      <c r="L37" s="1" t="str">
        <f t="shared" si="0"/>
        <v>185.62.150.143</v>
      </c>
      <c r="M37" s="3">
        <f t="shared" si="1"/>
        <v>43059.496053240742</v>
      </c>
      <c r="N37" s="4">
        <f t="shared" si="2"/>
        <v>59</v>
      </c>
    </row>
    <row r="38" spans="1:14" x14ac:dyDescent="0.25">
      <c r="A38">
        <v>8329396</v>
      </c>
      <c r="B38" t="s">
        <v>55</v>
      </c>
      <c r="C38">
        <v>0</v>
      </c>
      <c r="D38">
        <v>5</v>
      </c>
      <c r="F38">
        <v>-613139109</v>
      </c>
      <c r="G38">
        <v>134</v>
      </c>
      <c r="H38">
        <v>0</v>
      </c>
      <c r="I38">
        <v>0</v>
      </c>
      <c r="J38">
        <v>-564528428</v>
      </c>
      <c r="L38" s="1" t="str">
        <f t="shared" si="0"/>
        <v>91.61.116.219</v>
      </c>
      <c r="M38" s="3">
        <f t="shared" si="1"/>
        <v>43178.459120370368</v>
      </c>
      <c r="N38" s="4">
        <f t="shared" si="2"/>
        <v>45</v>
      </c>
    </row>
    <row r="39" spans="1:14" x14ac:dyDescent="0.25">
      <c r="A39">
        <v>3839918</v>
      </c>
      <c r="B39" t="s">
        <v>56</v>
      </c>
      <c r="C39">
        <v>0</v>
      </c>
      <c r="D39">
        <v>5</v>
      </c>
      <c r="F39">
        <v>-1582696881</v>
      </c>
      <c r="G39">
        <v>134</v>
      </c>
      <c r="H39">
        <v>0</v>
      </c>
      <c r="I39">
        <v>0</v>
      </c>
      <c r="J39">
        <v>-557795266</v>
      </c>
      <c r="L39" s="1" t="str">
        <f>ip_to_string(F39)</f>
        <v>79.246.169.161</v>
      </c>
      <c r="M39" s="3">
        <f>(2^32+J39)*TIME(0,0,1)+2+TIME($N$3,0,0)</f>
        <v>43256.389236111114</v>
      </c>
      <c r="N39" s="4">
        <f xml:space="preserve"> 4 + 1 + 2 + 1 + LEN(B39)+1 + 4 + IF(OR(D39=1,D39=4,D39=6),LEN(E39)+1,0) + IF(OR(D39=2,D39=3,D39=5),4,0) + 5</f>
        <v>46</v>
      </c>
    </row>
    <row r="40" spans="1:14" x14ac:dyDescent="0.25">
      <c r="A40">
        <v>826491</v>
      </c>
      <c r="B40" t="s">
        <v>57</v>
      </c>
      <c r="C40">
        <v>0</v>
      </c>
      <c r="D40">
        <v>1</v>
      </c>
      <c r="E40" t="s">
        <v>58</v>
      </c>
      <c r="F40">
        <v>0</v>
      </c>
      <c r="G40">
        <v>134</v>
      </c>
      <c r="H40">
        <v>12</v>
      </c>
      <c r="I40">
        <v>0</v>
      </c>
      <c r="J40">
        <v>-616691043</v>
      </c>
      <c r="L40" s="1" t="str">
        <f>ip_to_string(F40)</f>
        <v>0.0.0.0</v>
      </c>
      <c r="M40" s="3">
        <f>(2^32+J40)*TIME(0,0,1)+2+TIME($N$3,0,0)</f>
        <v>42574.72515046296</v>
      </c>
      <c r="N40" s="4">
        <f xml:space="preserve"> 4 + 1 + 2 + 1 + LEN(B40)+1 + 4 + IF(OR(D40=1,D40=4,D40=6),LEN(E40)+1,0) + IF(OR(D40=2,D40=3,D40=5),4,0) + 5</f>
        <v>54</v>
      </c>
    </row>
    <row r="41" spans="1:14" x14ac:dyDescent="0.25">
      <c r="A41">
        <v>11302</v>
      </c>
      <c r="B41" t="s">
        <v>94</v>
      </c>
      <c r="C41">
        <v>0</v>
      </c>
      <c r="D41">
        <v>5</v>
      </c>
      <c r="F41">
        <v>151511870</v>
      </c>
      <c r="G41">
        <v>134</v>
      </c>
      <c r="H41">
        <v>22</v>
      </c>
      <c r="I41">
        <v>0</v>
      </c>
      <c r="J41">
        <v>-555282679</v>
      </c>
      <c r="L41" s="1" t="str">
        <f t="shared" ref="L41:L50" si="3">ip_to_string(F41)</f>
        <v>62.227.7.9</v>
      </c>
      <c r="M41" s="3">
        <f t="shared" ref="M41:M50" si="4">(2^32+J41)*TIME(0,0,1)+2+TIME($N$3,0,0)</f>
        <v>43285.47010416667</v>
      </c>
      <c r="N41" s="4">
        <f t="shared" ref="N41:N50" si="5" xml:space="preserve"> 4 + 1 + 2 + 1 + LEN(B41)+1 + 4 + IF(OR(D41=1,D41=4,D41=6),LEN(E41)+1,0) + IF(OR(D41=2,D41=3,D41=5),4,0) + 5</f>
        <v>61</v>
      </c>
    </row>
    <row r="42" spans="1:14" x14ac:dyDescent="0.25">
      <c r="A42">
        <v>19990</v>
      </c>
      <c r="B42" t="s">
        <v>59</v>
      </c>
      <c r="C42">
        <v>0</v>
      </c>
      <c r="D42">
        <v>5</v>
      </c>
      <c r="F42">
        <v>-519052482</v>
      </c>
      <c r="G42">
        <v>134</v>
      </c>
      <c r="H42">
        <v>0</v>
      </c>
      <c r="I42">
        <v>0</v>
      </c>
      <c r="J42">
        <v>-555196120</v>
      </c>
      <c r="L42" s="1" t="str">
        <f t="shared" si="3"/>
        <v>62.227.15.225</v>
      </c>
      <c r="M42" s="3">
        <f t="shared" si="4"/>
        <v>43286.471944444442</v>
      </c>
      <c r="N42" s="4">
        <f t="shared" si="5"/>
        <v>46</v>
      </c>
    </row>
    <row r="43" spans="1:14" x14ac:dyDescent="0.25">
      <c r="A43">
        <v>563399</v>
      </c>
      <c r="B43" t="s">
        <v>60</v>
      </c>
      <c r="C43">
        <v>0</v>
      </c>
      <c r="D43">
        <v>5</v>
      </c>
      <c r="F43">
        <v>1436155741</v>
      </c>
      <c r="G43">
        <v>134</v>
      </c>
      <c r="H43">
        <v>0</v>
      </c>
      <c r="I43">
        <v>0</v>
      </c>
      <c r="J43">
        <v>-555479150</v>
      </c>
      <c r="L43" s="1" t="str">
        <f t="shared" si="3"/>
        <v>93.255.153.85</v>
      </c>
      <c r="M43" s="3">
        <f t="shared" si="4"/>
        <v>43283.196134259262</v>
      </c>
      <c r="N43" s="4">
        <f t="shared" si="5"/>
        <v>47</v>
      </c>
    </row>
    <row r="44" spans="1:14" x14ac:dyDescent="0.25">
      <c r="A44">
        <v>92158</v>
      </c>
      <c r="B44" t="s">
        <v>61</v>
      </c>
      <c r="C44">
        <v>0</v>
      </c>
      <c r="D44">
        <v>1</v>
      </c>
      <c r="E44" t="s">
        <v>31</v>
      </c>
      <c r="F44">
        <v>0</v>
      </c>
      <c r="G44">
        <v>134</v>
      </c>
      <c r="H44">
        <v>0</v>
      </c>
      <c r="I44">
        <v>0</v>
      </c>
      <c r="J44">
        <v>-572530663</v>
      </c>
      <c r="L44" s="1" t="str">
        <f t="shared" si="3"/>
        <v>0.0.0.0</v>
      </c>
      <c r="M44" s="3">
        <f t="shared" si="4"/>
        <v>43085.84065972222</v>
      </c>
      <c r="N44" s="4">
        <f t="shared" si="5"/>
        <v>54</v>
      </c>
    </row>
    <row r="45" spans="1:14" x14ac:dyDescent="0.25">
      <c r="A45">
        <v>5212506</v>
      </c>
      <c r="B45" t="s">
        <v>62</v>
      </c>
      <c r="C45">
        <v>0</v>
      </c>
      <c r="D45">
        <v>1</v>
      </c>
      <c r="E45" t="s">
        <v>31</v>
      </c>
      <c r="F45">
        <v>0</v>
      </c>
      <c r="G45">
        <v>134</v>
      </c>
      <c r="H45">
        <v>66</v>
      </c>
      <c r="I45">
        <v>0</v>
      </c>
      <c r="J45">
        <v>-572539587</v>
      </c>
      <c r="L45" s="1" t="str">
        <f t="shared" si="3"/>
        <v>0.0.0.0</v>
      </c>
      <c r="M45" s="3">
        <f t="shared" si="4"/>
        <v>43085.737372685187</v>
      </c>
      <c r="N45" s="4">
        <f t="shared" si="5"/>
        <v>54</v>
      </c>
    </row>
    <row r="46" spans="1:14" x14ac:dyDescent="0.25">
      <c r="A46">
        <v>112893</v>
      </c>
      <c r="B46" t="s">
        <v>63</v>
      </c>
      <c r="C46">
        <v>0</v>
      </c>
      <c r="D46">
        <v>5</v>
      </c>
      <c r="F46">
        <v>-2137925540</v>
      </c>
      <c r="G46">
        <v>134</v>
      </c>
      <c r="H46">
        <v>0</v>
      </c>
      <c r="I46">
        <v>0</v>
      </c>
      <c r="J46">
        <v>-556785234</v>
      </c>
      <c r="L46" s="1" t="str">
        <f t="shared" si="3"/>
        <v>92.216.145.128</v>
      </c>
      <c r="M46" s="3">
        <f t="shared" si="4"/>
        <v>43268.079421296294</v>
      </c>
      <c r="N46" s="4">
        <f t="shared" si="5"/>
        <v>44</v>
      </c>
    </row>
    <row r="47" spans="1:14" x14ac:dyDescent="0.25">
      <c r="A47">
        <v>922014</v>
      </c>
      <c r="B47" t="s">
        <v>66</v>
      </c>
      <c r="C47">
        <v>0</v>
      </c>
      <c r="D47">
        <v>1</v>
      </c>
      <c r="E47" t="s">
        <v>67</v>
      </c>
      <c r="F47">
        <v>0</v>
      </c>
      <c r="G47">
        <v>134</v>
      </c>
      <c r="H47">
        <v>11</v>
      </c>
      <c r="I47">
        <v>0</v>
      </c>
      <c r="J47">
        <v>-567345536</v>
      </c>
      <c r="L47" s="1" t="str">
        <f t="shared" si="3"/>
        <v>0.0.0.0</v>
      </c>
      <c r="M47" s="3">
        <f t="shared" si="4"/>
        <v>43145.853703703702</v>
      </c>
      <c r="N47" s="4">
        <f t="shared" si="5"/>
        <v>57</v>
      </c>
    </row>
    <row r="48" spans="1:14" x14ac:dyDescent="0.25">
      <c r="A48">
        <v>952513</v>
      </c>
      <c r="B48" t="s">
        <v>92</v>
      </c>
      <c r="C48">
        <v>0</v>
      </c>
      <c r="D48">
        <v>3</v>
      </c>
      <c r="E48" t="s">
        <v>93</v>
      </c>
      <c r="F48">
        <v>0</v>
      </c>
      <c r="G48">
        <v>-22889</v>
      </c>
      <c r="H48">
        <v>0</v>
      </c>
      <c r="I48">
        <v>0</v>
      </c>
      <c r="J48">
        <v>-559758115</v>
      </c>
      <c r="L48" s="1" t="str">
        <f t="shared" si="3"/>
        <v>0.0.0.0</v>
      </c>
      <c r="M48" s="3">
        <f t="shared" si="4"/>
        <v>43233.671076388891</v>
      </c>
      <c r="N48" s="4">
        <f t="shared" si="5"/>
        <v>43</v>
      </c>
    </row>
    <row r="49" spans="12:14" x14ac:dyDescent="0.25">
      <c r="L49" s="1" t="str">
        <f t="shared" si="3"/>
        <v>0.0.0.0</v>
      </c>
      <c r="M49" s="3">
        <f t="shared" si="4"/>
        <v>49712.352962962963</v>
      </c>
      <c r="N49" s="4">
        <f t="shared" si="5"/>
        <v>18</v>
      </c>
    </row>
    <row r="50" spans="12:14" x14ac:dyDescent="0.25">
      <c r="L50" s="1" t="str">
        <f t="shared" si="3"/>
        <v>0.0.0.0</v>
      </c>
      <c r="M50" s="3">
        <f t="shared" si="4"/>
        <v>49712.352962962963</v>
      </c>
      <c r="N50" s="4">
        <f t="shared" si="5"/>
        <v>18</v>
      </c>
    </row>
    <row r="51" spans="12:14" x14ac:dyDescent="0.25">
      <c r="L51" s="1" t="str">
        <f t="shared" ref="L51:L60" si="6">ip_to_string(F51)</f>
        <v>0.0.0.0</v>
      </c>
      <c r="M51" s="3">
        <f t="shared" ref="M51:M60" si="7">(2^32+J51)*TIME(0,0,1)+2+TIME($N$3,0,0)</f>
        <v>49712.352962962963</v>
      </c>
      <c r="N51" s="4">
        <f t="shared" ref="N51:N60" si="8" xml:space="preserve"> 4 + 1 + 2 + 1 + LEN(B51)+1 + 4 + IF(OR(D51=1,D51=4,D51=6),LEN(E51)+1,0) + IF(OR(D51=2,D51=3,D51=5),4,0) + 5</f>
        <v>18</v>
      </c>
    </row>
    <row r="52" spans="12:14" x14ac:dyDescent="0.25">
      <c r="L52" s="1" t="str">
        <f t="shared" si="6"/>
        <v>0.0.0.0</v>
      </c>
      <c r="M52" s="3">
        <f t="shared" si="7"/>
        <v>49712.352962962963</v>
      </c>
      <c r="N52" s="4">
        <f t="shared" si="8"/>
        <v>18</v>
      </c>
    </row>
    <row r="53" spans="12:14" x14ac:dyDescent="0.25">
      <c r="L53" s="1" t="str">
        <f t="shared" si="6"/>
        <v>0.0.0.0</v>
      </c>
      <c r="M53" s="3">
        <f t="shared" si="7"/>
        <v>49712.352962962963</v>
      </c>
      <c r="N53" s="4">
        <f t="shared" si="8"/>
        <v>18</v>
      </c>
    </row>
    <row r="54" spans="12:14" x14ac:dyDescent="0.25">
      <c r="L54" s="1" t="str">
        <f t="shared" si="6"/>
        <v>0.0.0.0</v>
      </c>
      <c r="M54" s="3">
        <f t="shared" si="7"/>
        <v>49712.352962962963</v>
      </c>
      <c r="N54" s="4">
        <f t="shared" si="8"/>
        <v>18</v>
      </c>
    </row>
    <row r="55" spans="12:14" x14ac:dyDescent="0.25">
      <c r="L55" s="1" t="str">
        <f t="shared" si="6"/>
        <v>0.0.0.0</v>
      </c>
      <c r="M55" s="3">
        <f t="shared" si="7"/>
        <v>49712.352962962963</v>
      </c>
      <c r="N55" s="4">
        <f t="shared" si="8"/>
        <v>18</v>
      </c>
    </row>
    <row r="56" spans="12:14" x14ac:dyDescent="0.25">
      <c r="L56" s="1" t="str">
        <f t="shared" si="6"/>
        <v>0.0.0.0</v>
      </c>
      <c r="M56" s="3">
        <f t="shared" si="7"/>
        <v>49712.352962962963</v>
      </c>
      <c r="N56" s="4">
        <f t="shared" si="8"/>
        <v>18</v>
      </c>
    </row>
    <row r="57" spans="12:14" x14ac:dyDescent="0.25">
      <c r="L57" s="1" t="str">
        <f t="shared" si="6"/>
        <v>0.0.0.0</v>
      </c>
      <c r="M57" s="3">
        <f t="shared" si="7"/>
        <v>49712.352962962963</v>
      </c>
      <c r="N57" s="4">
        <f t="shared" si="8"/>
        <v>18</v>
      </c>
    </row>
    <row r="58" spans="12:14" x14ac:dyDescent="0.25">
      <c r="L58" s="1" t="str">
        <f t="shared" si="6"/>
        <v>0.0.0.0</v>
      </c>
      <c r="M58" s="3">
        <f t="shared" si="7"/>
        <v>49712.352962962963</v>
      </c>
      <c r="N58" s="4">
        <f t="shared" si="8"/>
        <v>18</v>
      </c>
    </row>
    <row r="59" spans="12:14" x14ac:dyDescent="0.25">
      <c r="L59" s="1" t="str">
        <f t="shared" si="6"/>
        <v>0.0.0.0</v>
      </c>
      <c r="M59" s="3">
        <f t="shared" si="7"/>
        <v>49712.352962962963</v>
      </c>
      <c r="N59" s="4">
        <f t="shared" si="8"/>
        <v>18</v>
      </c>
    </row>
    <row r="60" spans="12:14" x14ac:dyDescent="0.25">
      <c r="L60" s="1" t="str">
        <f t="shared" si="6"/>
        <v>0.0.0.0</v>
      </c>
      <c r="M60" s="3">
        <f t="shared" si="7"/>
        <v>49712.352962962963</v>
      </c>
      <c r="N60" s="4">
        <f t="shared" si="8"/>
        <v>18</v>
      </c>
    </row>
    <row r="61" spans="12:14" x14ac:dyDescent="0.25">
      <c r="L61" s="1" t="str">
        <f t="shared" ref="L61:L124" si="9">ip_to_string(F61)</f>
        <v>0.0.0.0</v>
      </c>
      <c r="M61" s="3">
        <f t="shared" ref="M61:M124" si="10">(2^32+J61)*TIME(0,0,1)+2+TIME($N$3,0,0)</f>
        <v>49712.352962962963</v>
      </c>
      <c r="N61" s="4">
        <f t="shared" ref="N61:N124" si="11" xml:space="preserve"> 4 + 1 + 2 + 1 + LEN(B61)+1 + 4 + IF(OR(D61=1,D61=4,D61=6),LEN(E61)+1,0) + IF(OR(D61=2,D61=3,D61=5),4,0) + 5</f>
        <v>18</v>
      </c>
    </row>
    <row r="62" spans="12:14" x14ac:dyDescent="0.25">
      <c r="L62" s="1" t="str">
        <f t="shared" si="9"/>
        <v>0.0.0.0</v>
      </c>
      <c r="M62" s="3">
        <f t="shared" si="10"/>
        <v>49712.352962962963</v>
      </c>
      <c r="N62" s="4">
        <f t="shared" si="11"/>
        <v>18</v>
      </c>
    </row>
    <row r="63" spans="12:14" x14ac:dyDescent="0.25">
      <c r="L63" s="1" t="str">
        <f t="shared" si="9"/>
        <v>0.0.0.0</v>
      </c>
      <c r="M63" s="3">
        <f t="shared" si="10"/>
        <v>49712.352962962963</v>
      </c>
      <c r="N63" s="4">
        <f t="shared" si="11"/>
        <v>18</v>
      </c>
    </row>
    <row r="64" spans="12:14" x14ac:dyDescent="0.25">
      <c r="L64" s="1" t="str">
        <f t="shared" si="9"/>
        <v>0.0.0.0</v>
      </c>
      <c r="M64" s="3">
        <f t="shared" si="10"/>
        <v>49712.352962962963</v>
      </c>
      <c r="N64" s="4">
        <f t="shared" si="11"/>
        <v>18</v>
      </c>
    </row>
    <row r="65" spans="12:14" x14ac:dyDescent="0.25">
      <c r="L65" s="1" t="str">
        <f t="shared" si="9"/>
        <v>0.0.0.0</v>
      </c>
      <c r="M65" s="3">
        <f t="shared" si="10"/>
        <v>49712.352962962963</v>
      </c>
      <c r="N65" s="4">
        <f t="shared" si="11"/>
        <v>18</v>
      </c>
    </row>
    <row r="66" spans="12:14" x14ac:dyDescent="0.25">
      <c r="L66" s="1" t="str">
        <f t="shared" si="9"/>
        <v>0.0.0.0</v>
      </c>
      <c r="M66" s="3">
        <f t="shared" si="10"/>
        <v>49712.352962962963</v>
      </c>
      <c r="N66" s="4">
        <f t="shared" si="11"/>
        <v>18</v>
      </c>
    </row>
    <row r="67" spans="12:14" x14ac:dyDescent="0.25">
      <c r="L67" s="1" t="str">
        <f t="shared" si="9"/>
        <v>0.0.0.0</v>
      </c>
      <c r="M67" s="3">
        <f t="shared" si="10"/>
        <v>49712.352962962963</v>
      </c>
      <c r="N67" s="4">
        <f t="shared" si="11"/>
        <v>18</v>
      </c>
    </row>
    <row r="68" spans="12:14" x14ac:dyDescent="0.25">
      <c r="L68" s="1" t="str">
        <f t="shared" si="9"/>
        <v>0.0.0.0</v>
      </c>
      <c r="M68" s="3">
        <f t="shared" si="10"/>
        <v>49712.352962962963</v>
      </c>
      <c r="N68" s="4">
        <f t="shared" si="11"/>
        <v>18</v>
      </c>
    </row>
    <row r="69" spans="12:14" x14ac:dyDescent="0.25">
      <c r="L69" s="1" t="str">
        <f t="shared" si="9"/>
        <v>0.0.0.0</v>
      </c>
      <c r="M69" s="3">
        <f t="shared" si="10"/>
        <v>49712.352962962963</v>
      </c>
      <c r="N69" s="4">
        <f t="shared" si="11"/>
        <v>18</v>
      </c>
    </row>
    <row r="70" spans="12:14" x14ac:dyDescent="0.25">
      <c r="L70" s="1" t="str">
        <f t="shared" si="9"/>
        <v>0.0.0.0</v>
      </c>
      <c r="M70" s="3">
        <f t="shared" si="10"/>
        <v>49712.352962962963</v>
      </c>
      <c r="N70" s="4">
        <f t="shared" si="11"/>
        <v>18</v>
      </c>
    </row>
    <row r="71" spans="12:14" x14ac:dyDescent="0.25">
      <c r="L71" s="1" t="str">
        <f t="shared" si="9"/>
        <v>0.0.0.0</v>
      </c>
      <c r="M71" s="3">
        <f t="shared" si="10"/>
        <v>49712.352962962963</v>
      </c>
      <c r="N71" s="4">
        <f t="shared" si="11"/>
        <v>18</v>
      </c>
    </row>
    <row r="72" spans="12:14" x14ac:dyDescent="0.25">
      <c r="L72" s="1" t="str">
        <f t="shared" si="9"/>
        <v>0.0.0.0</v>
      </c>
      <c r="M72" s="3">
        <f t="shared" si="10"/>
        <v>49712.352962962963</v>
      </c>
      <c r="N72" s="4">
        <f t="shared" si="11"/>
        <v>18</v>
      </c>
    </row>
    <row r="73" spans="12:14" x14ac:dyDescent="0.25">
      <c r="L73" s="1" t="str">
        <f t="shared" si="9"/>
        <v>0.0.0.0</v>
      </c>
      <c r="M73" s="3">
        <f t="shared" si="10"/>
        <v>49712.352962962963</v>
      </c>
      <c r="N73" s="4">
        <f t="shared" si="11"/>
        <v>18</v>
      </c>
    </row>
    <row r="74" spans="12:14" x14ac:dyDescent="0.25">
      <c r="L74" s="1" t="str">
        <f t="shared" si="9"/>
        <v>0.0.0.0</v>
      </c>
      <c r="M74" s="3">
        <f t="shared" si="10"/>
        <v>49712.352962962963</v>
      </c>
      <c r="N74" s="4">
        <f t="shared" si="11"/>
        <v>18</v>
      </c>
    </row>
    <row r="75" spans="12:14" x14ac:dyDescent="0.25">
      <c r="L75" s="1" t="str">
        <f t="shared" si="9"/>
        <v>0.0.0.0</v>
      </c>
      <c r="M75" s="3">
        <f t="shared" si="10"/>
        <v>49712.352962962963</v>
      </c>
      <c r="N75" s="4">
        <f t="shared" si="11"/>
        <v>18</v>
      </c>
    </row>
    <row r="76" spans="12:14" x14ac:dyDescent="0.25">
      <c r="L76" s="1" t="str">
        <f t="shared" si="9"/>
        <v>0.0.0.0</v>
      </c>
      <c r="M76" s="3">
        <f t="shared" si="10"/>
        <v>49712.352962962963</v>
      </c>
      <c r="N76" s="4">
        <f t="shared" si="11"/>
        <v>18</v>
      </c>
    </row>
    <row r="77" spans="12:14" x14ac:dyDescent="0.25">
      <c r="L77" s="1" t="str">
        <f t="shared" si="9"/>
        <v>0.0.0.0</v>
      </c>
      <c r="M77" s="3">
        <f t="shared" si="10"/>
        <v>49712.352962962963</v>
      </c>
      <c r="N77" s="4">
        <f t="shared" si="11"/>
        <v>18</v>
      </c>
    </row>
    <row r="78" spans="12:14" x14ac:dyDescent="0.25">
      <c r="L78" s="1" t="str">
        <f t="shared" si="9"/>
        <v>0.0.0.0</v>
      </c>
      <c r="M78" s="3">
        <f t="shared" si="10"/>
        <v>49712.352962962963</v>
      </c>
      <c r="N78" s="4">
        <f t="shared" si="11"/>
        <v>18</v>
      </c>
    </row>
    <row r="79" spans="12:14" x14ac:dyDescent="0.25">
      <c r="L79" s="1" t="str">
        <f t="shared" si="9"/>
        <v>0.0.0.0</v>
      </c>
      <c r="M79" s="3">
        <f t="shared" si="10"/>
        <v>49712.352962962963</v>
      </c>
      <c r="N79" s="4">
        <f t="shared" si="11"/>
        <v>18</v>
      </c>
    </row>
    <row r="80" spans="12:14" x14ac:dyDescent="0.25">
      <c r="L80" s="1" t="str">
        <f t="shared" si="9"/>
        <v>0.0.0.0</v>
      </c>
      <c r="M80" s="3">
        <f t="shared" si="10"/>
        <v>49712.352962962963</v>
      </c>
      <c r="N80" s="4">
        <f t="shared" si="11"/>
        <v>18</v>
      </c>
    </row>
    <row r="81" spans="12:14" x14ac:dyDescent="0.25">
      <c r="L81" s="1" t="str">
        <f t="shared" si="9"/>
        <v>0.0.0.0</v>
      </c>
      <c r="M81" s="3">
        <f t="shared" si="10"/>
        <v>49712.352962962963</v>
      </c>
      <c r="N81" s="4">
        <f t="shared" si="11"/>
        <v>18</v>
      </c>
    </row>
    <row r="82" spans="12:14" x14ac:dyDescent="0.25">
      <c r="L82" s="1" t="str">
        <f t="shared" si="9"/>
        <v>0.0.0.0</v>
      </c>
      <c r="M82" s="3">
        <f t="shared" si="10"/>
        <v>49712.352962962963</v>
      </c>
      <c r="N82" s="4">
        <f t="shared" si="11"/>
        <v>18</v>
      </c>
    </row>
    <row r="83" spans="12:14" x14ac:dyDescent="0.25">
      <c r="L83" s="1" t="str">
        <f t="shared" si="9"/>
        <v>0.0.0.0</v>
      </c>
      <c r="M83" s="3">
        <f t="shared" si="10"/>
        <v>49712.352962962963</v>
      </c>
      <c r="N83" s="4">
        <f t="shared" si="11"/>
        <v>18</v>
      </c>
    </row>
    <row r="84" spans="12:14" x14ac:dyDescent="0.25">
      <c r="L84" s="1" t="str">
        <f t="shared" si="9"/>
        <v>0.0.0.0</v>
      </c>
      <c r="M84" s="3">
        <f t="shared" si="10"/>
        <v>49712.352962962963</v>
      </c>
      <c r="N84" s="4">
        <f t="shared" si="11"/>
        <v>18</v>
      </c>
    </row>
    <row r="85" spans="12:14" x14ac:dyDescent="0.25">
      <c r="L85" s="1" t="str">
        <f t="shared" si="9"/>
        <v>0.0.0.0</v>
      </c>
      <c r="M85" s="3">
        <f t="shared" si="10"/>
        <v>49712.352962962963</v>
      </c>
      <c r="N85" s="4">
        <f t="shared" si="11"/>
        <v>18</v>
      </c>
    </row>
    <row r="86" spans="12:14" x14ac:dyDescent="0.25">
      <c r="L86" s="1" t="str">
        <f t="shared" si="9"/>
        <v>0.0.0.0</v>
      </c>
      <c r="M86" s="3">
        <f t="shared" si="10"/>
        <v>49712.352962962963</v>
      </c>
      <c r="N86" s="4">
        <f t="shared" si="11"/>
        <v>18</v>
      </c>
    </row>
    <row r="87" spans="12:14" x14ac:dyDescent="0.25">
      <c r="L87" s="1" t="str">
        <f t="shared" si="9"/>
        <v>0.0.0.0</v>
      </c>
      <c r="M87" s="3">
        <f t="shared" si="10"/>
        <v>49712.352962962963</v>
      </c>
      <c r="N87" s="4">
        <f t="shared" si="11"/>
        <v>18</v>
      </c>
    </row>
    <row r="88" spans="12:14" x14ac:dyDescent="0.25">
      <c r="L88" s="1" t="str">
        <f t="shared" si="9"/>
        <v>0.0.0.0</v>
      </c>
      <c r="M88" s="3">
        <f t="shared" si="10"/>
        <v>49712.352962962963</v>
      </c>
      <c r="N88" s="4">
        <f t="shared" si="11"/>
        <v>18</v>
      </c>
    </row>
    <row r="89" spans="12:14" x14ac:dyDescent="0.25">
      <c r="L89" s="1" t="str">
        <f t="shared" si="9"/>
        <v>0.0.0.0</v>
      </c>
      <c r="M89" s="3">
        <f t="shared" si="10"/>
        <v>49712.352962962963</v>
      </c>
      <c r="N89" s="4">
        <f t="shared" si="11"/>
        <v>18</v>
      </c>
    </row>
    <row r="90" spans="12:14" x14ac:dyDescent="0.25">
      <c r="L90" s="1" t="str">
        <f t="shared" si="9"/>
        <v>0.0.0.0</v>
      </c>
      <c r="M90" s="3">
        <f t="shared" si="10"/>
        <v>49712.352962962963</v>
      </c>
      <c r="N90" s="4">
        <f t="shared" si="11"/>
        <v>18</v>
      </c>
    </row>
    <row r="91" spans="12:14" x14ac:dyDescent="0.25">
      <c r="L91" s="1" t="str">
        <f t="shared" si="9"/>
        <v>0.0.0.0</v>
      </c>
      <c r="M91" s="3">
        <f t="shared" si="10"/>
        <v>49712.352962962963</v>
      </c>
      <c r="N91" s="4">
        <f t="shared" si="11"/>
        <v>18</v>
      </c>
    </row>
    <row r="92" spans="12:14" x14ac:dyDescent="0.25">
      <c r="L92" s="1" t="str">
        <f t="shared" si="9"/>
        <v>0.0.0.0</v>
      </c>
      <c r="M92" s="3">
        <f t="shared" si="10"/>
        <v>49712.352962962963</v>
      </c>
      <c r="N92" s="4">
        <f t="shared" si="11"/>
        <v>18</v>
      </c>
    </row>
    <row r="93" spans="12:14" x14ac:dyDescent="0.25">
      <c r="L93" s="1" t="str">
        <f t="shared" si="9"/>
        <v>0.0.0.0</v>
      </c>
      <c r="M93" s="3">
        <f t="shared" si="10"/>
        <v>49712.352962962963</v>
      </c>
      <c r="N93" s="4">
        <f t="shared" si="11"/>
        <v>18</v>
      </c>
    </row>
    <row r="94" spans="12:14" x14ac:dyDescent="0.25">
      <c r="L94" s="1" t="str">
        <f t="shared" si="9"/>
        <v>0.0.0.0</v>
      </c>
      <c r="M94" s="3">
        <f t="shared" si="10"/>
        <v>49712.352962962963</v>
      </c>
      <c r="N94" s="4">
        <f t="shared" si="11"/>
        <v>18</v>
      </c>
    </row>
    <row r="95" spans="12:14" x14ac:dyDescent="0.25">
      <c r="L95" s="1" t="str">
        <f t="shared" si="9"/>
        <v>0.0.0.0</v>
      </c>
      <c r="M95" s="3">
        <f t="shared" si="10"/>
        <v>49712.352962962963</v>
      </c>
      <c r="N95" s="4">
        <f t="shared" si="11"/>
        <v>18</v>
      </c>
    </row>
    <row r="96" spans="12:14" x14ac:dyDescent="0.25">
      <c r="L96" s="1" t="str">
        <f t="shared" si="9"/>
        <v>0.0.0.0</v>
      </c>
      <c r="M96" s="3">
        <f t="shared" si="10"/>
        <v>49712.352962962963</v>
      </c>
      <c r="N96" s="4">
        <f t="shared" si="11"/>
        <v>18</v>
      </c>
    </row>
    <row r="97" spans="12:14" x14ac:dyDescent="0.25">
      <c r="L97" s="1" t="str">
        <f t="shared" si="9"/>
        <v>0.0.0.0</v>
      </c>
      <c r="M97" s="3">
        <f t="shared" si="10"/>
        <v>49712.352962962963</v>
      </c>
      <c r="N97" s="4">
        <f t="shared" si="11"/>
        <v>18</v>
      </c>
    </row>
    <row r="98" spans="12:14" x14ac:dyDescent="0.25">
      <c r="L98" s="1" t="str">
        <f t="shared" si="9"/>
        <v>0.0.0.0</v>
      </c>
      <c r="M98" s="3">
        <f t="shared" si="10"/>
        <v>49712.352962962963</v>
      </c>
      <c r="N98" s="4">
        <f t="shared" si="11"/>
        <v>18</v>
      </c>
    </row>
    <row r="99" spans="12:14" x14ac:dyDescent="0.25">
      <c r="L99" s="1" t="str">
        <f t="shared" si="9"/>
        <v>0.0.0.0</v>
      </c>
      <c r="M99" s="3">
        <f t="shared" si="10"/>
        <v>49712.352962962963</v>
      </c>
      <c r="N99" s="4">
        <f t="shared" si="11"/>
        <v>18</v>
      </c>
    </row>
    <row r="100" spans="12:14" x14ac:dyDescent="0.25">
      <c r="L100" s="1" t="str">
        <f t="shared" si="9"/>
        <v>0.0.0.0</v>
      </c>
      <c r="M100" s="3">
        <f t="shared" si="10"/>
        <v>49712.352962962963</v>
      </c>
      <c r="N100" s="4">
        <f t="shared" si="11"/>
        <v>18</v>
      </c>
    </row>
    <row r="101" spans="12:14" x14ac:dyDescent="0.25">
      <c r="L101" s="1" t="str">
        <f t="shared" si="9"/>
        <v>0.0.0.0</v>
      </c>
      <c r="M101" s="3">
        <f t="shared" si="10"/>
        <v>49712.352962962963</v>
      </c>
      <c r="N101" s="4">
        <f t="shared" si="11"/>
        <v>18</v>
      </c>
    </row>
    <row r="102" spans="12:14" x14ac:dyDescent="0.25">
      <c r="L102" s="1" t="str">
        <f t="shared" si="9"/>
        <v>0.0.0.0</v>
      </c>
      <c r="M102" s="3">
        <f t="shared" si="10"/>
        <v>49712.352962962963</v>
      </c>
      <c r="N102" s="4">
        <f t="shared" si="11"/>
        <v>18</v>
      </c>
    </row>
    <row r="103" spans="12:14" x14ac:dyDescent="0.25">
      <c r="L103" s="1" t="str">
        <f t="shared" si="9"/>
        <v>0.0.0.0</v>
      </c>
      <c r="M103" s="3">
        <f t="shared" si="10"/>
        <v>49712.352962962963</v>
      </c>
      <c r="N103" s="4">
        <f t="shared" si="11"/>
        <v>18</v>
      </c>
    </row>
    <row r="104" spans="12:14" x14ac:dyDescent="0.25">
      <c r="L104" s="1" t="str">
        <f t="shared" si="9"/>
        <v>0.0.0.0</v>
      </c>
      <c r="M104" s="3">
        <f t="shared" si="10"/>
        <v>49712.352962962963</v>
      </c>
      <c r="N104" s="4">
        <f t="shared" si="11"/>
        <v>18</v>
      </c>
    </row>
    <row r="105" spans="12:14" x14ac:dyDescent="0.25">
      <c r="L105" s="1" t="str">
        <f t="shared" si="9"/>
        <v>0.0.0.0</v>
      </c>
      <c r="M105" s="3">
        <f t="shared" si="10"/>
        <v>49712.352962962963</v>
      </c>
      <c r="N105" s="4">
        <f t="shared" si="11"/>
        <v>18</v>
      </c>
    </row>
    <row r="106" spans="12:14" x14ac:dyDescent="0.25">
      <c r="L106" s="1" t="str">
        <f t="shared" si="9"/>
        <v>0.0.0.0</v>
      </c>
      <c r="M106" s="3">
        <f t="shared" si="10"/>
        <v>49712.352962962963</v>
      </c>
      <c r="N106" s="4">
        <f t="shared" si="11"/>
        <v>18</v>
      </c>
    </row>
    <row r="107" spans="12:14" x14ac:dyDescent="0.25">
      <c r="L107" s="1" t="str">
        <f t="shared" si="9"/>
        <v>0.0.0.0</v>
      </c>
      <c r="M107" s="3">
        <f t="shared" si="10"/>
        <v>49712.352962962963</v>
      </c>
      <c r="N107" s="4">
        <f t="shared" si="11"/>
        <v>18</v>
      </c>
    </row>
    <row r="108" spans="12:14" x14ac:dyDescent="0.25">
      <c r="L108" s="1" t="str">
        <f t="shared" si="9"/>
        <v>0.0.0.0</v>
      </c>
      <c r="M108" s="3">
        <f t="shared" si="10"/>
        <v>49712.352962962963</v>
      </c>
      <c r="N108" s="4">
        <f t="shared" si="11"/>
        <v>18</v>
      </c>
    </row>
    <row r="109" spans="12:14" x14ac:dyDescent="0.25">
      <c r="L109" s="1" t="str">
        <f t="shared" si="9"/>
        <v>0.0.0.0</v>
      </c>
      <c r="M109" s="3">
        <f t="shared" si="10"/>
        <v>49712.352962962963</v>
      </c>
      <c r="N109" s="4">
        <f t="shared" si="11"/>
        <v>18</v>
      </c>
    </row>
    <row r="110" spans="12:14" x14ac:dyDescent="0.25">
      <c r="L110" s="1" t="str">
        <f t="shared" si="9"/>
        <v>0.0.0.0</v>
      </c>
      <c r="M110" s="3">
        <f t="shared" si="10"/>
        <v>49712.352962962963</v>
      </c>
      <c r="N110" s="4">
        <f t="shared" si="11"/>
        <v>18</v>
      </c>
    </row>
    <row r="111" spans="12:14" x14ac:dyDescent="0.25">
      <c r="L111" s="1" t="str">
        <f t="shared" si="9"/>
        <v>0.0.0.0</v>
      </c>
      <c r="M111" s="3">
        <f t="shared" si="10"/>
        <v>49712.352962962963</v>
      </c>
      <c r="N111" s="4">
        <f t="shared" si="11"/>
        <v>18</v>
      </c>
    </row>
    <row r="112" spans="12:14" x14ac:dyDescent="0.25">
      <c r="L112" s="1" t="str">
        <f t="shared" si="9"/>
        <v>0.0.0.0</v>
      </c>
      <c r="M112" s="3">
        <f t="shared" si="10"/>
        <v>49712.352962962963</v>
      </c>
      <c r="N112" s="4">
        <f t="shared" si="11"/>
        <v>18</v>
      </c>
    </row>
    <row r="113" spans="12:14" x14ac:dyDescent="0.25">
      <c r="L113" s="1" t="str">
        <f t="shared" si="9"/>
        <v>0.0.0.0</v>
      </c>
      <c r="M113" s="3">
        <f t="shared" si="10"/>
        <v>49712.352962962963</v>
      </c>
      <c r="N113" s="4">
        <f t="shared" si="11"/>
        <v>18</v>
      </c>
    </row>
    <row r="114" spans="12:14" x14ac:dyDescent="0.25">
      <c r="L114" s="1" t="str">
        <f t="shared" si="9"/>
        <v>0.0.0.0</v>
      </c>
      <c r="M114" s="3">
        <f t="shared" si="10"/>
        <v>49712.352962962963</v>
      </c>
      <c r="N114" s="4">
        <f t="shared" si="11"/>
        <v>18</v>
      </c>
    </row>
    <row r="115" spans="12:14" x14ac:dyDescent="0.25">
      <c r="L115" s="1" t="str">
        <f t="shared" si="9"/>
        <v>0.0.0.0</v>
      </c>
      <c r="M115" s="3">
        <f t="shared" si="10"/>
        <v>49712.352962962963</v>
      </c>
      <c r="N115" s="4">
        <f t="shared" si="11"/>
        <v>18</v>
      </c>
    </row>
    <row r="116" spans="12:14" x14ac:dyDescent="0.25">
      <c r="L116" s="1" t="str">
        <f t="shared" si="9"/>
        <v>0.0.0.0</v>
      </c>
      <c r="M116" s="3">
        <f t="shared" si="10"/>
        <v>49712.352962962963</v>
      </c>
      <c r="N116" s="4">
        <f t="shared" si="11"/>
        <v>18</v>
      </c>
    </row>
    <row r="117" spans="12:14" x14ac:dyDescent="0.25">
      <c r="L117" s="1" t="str">
        <f t="shared" si="9"/>
        <v>0.0.0.0</v>
      </c>
      <c r="M117" s="3">
        <f t="shared" si="10"/>
        <v>49712.352962962963</v>
      </c>
      <c r="N117" s="4">
        <f t="shared" si="11"/>
        <v>18</v>
      </c>
    </row>
    <row r="118" spans="12:14" x14ac:dyDescent="0.25">
      <c r="L118" s="1" t="str">
        <f t="shared" si="9"/>
        <v>0.0.0.0</v>
      </c>
      <c r="M118" s="3">
        <f t="shared" si="10"/>
        <v>49712.352962962963</v>
      </c>
      <c r="N118" s="4">
        <f t="shared" si="11"/>
        <v>18</v>
      </c>
    </row>
    <row r="119" spans="12:14" x14ac:dyDescent="0.25">
      <c r="L119" s="1" t="str">
        <f t="shared" si="9"/>
        <v>0.0.0.0</v>
      </c>
      <c r="M119" s="3">
        <f t="shared" si="10"/>
        <v>49712.352962962963</v>
      </c>
      <c r="N119" s="4">
        <f t="shared" si="11"/>
        <v>18</v>
      </c>
    </row>
    <row r="120" spans="12:14" x14ac:dyDescent="0.25">
      <c r="L120" s="1" t="str">
        <f t="shared" si="9"/>
        <v>0.0.0.0</v>
      </c>
      <c r="M120" s="3">
        <f t="shared" si="10"/>
        <v>49712.352962962963</v>
      </c>
      <c r="N120" s="4">
        <f t="shared" si="11"/>
        <v>18</v>
      </c>
    </row>
    <row r="121" spans="12:14" x14ac:dyDescent="0.25">
      <c r="L121" s="1" t="str">
        <f t="shared" si="9"/>
        <v>0.0.0.0</v>
      </c>
      <c r="M121" s="3">
        <f t="shared" si="10"/>
        <v>49712.352962962963</v>
      </c>
      <c r="N121" s="4">
        <f t="shared" si="11"/>
        <v>18</v>
      </c>
    </row>
    <row r="122" spans="12:14" x14ac:dyDescent="0.25">
      <c r="L122" s="1" t="str">
        <f t="shared" si="9"/>
        <v>0.0.0.0</v>
      </c>
      <c r="M122" s="3">
        <f t="shared" si="10"/>
        <v>49712.352962962963</v>
      </c>
      <c r="N122" s="4">
        <f t="shared" si="11"/>
        <v>18</v>
      </c>
    </row>
    <row r="123" spans="12:14" x14ac:dyDescent="0.25">
      <c r="L123" s="1" t="str">
        <f t="shared" si="9"/>
        <v>0.0.0.0</v>
      </c>
      <c r="M123" s="3">
        <f t="shared" si="10"/>
        <v>49712.352962962963</v>
      </c>
      <c r="N123" s="4">
        <f t="shared" si="11"/>
        <v>18</v>
      </c>
    </row>
    <row r="124" spans="12:14" x14ac:dyDescent="0.25">
      <c r="L124" s="1" t="str">
        <f t="shared" si="9"/>
        <v>0.0.0.0</v>
      </c>
      <c r="M124" s="3">
        <f t="shared" si="10"/>
        <v>49712.352962962963</v>
      </c>
      <c r="N124" s="4">
        <f t="shared" si="11"/>
        <v>18</v>
      </c>
    </row>
    <row r="125" spans="12:14" x14ac:dyDescent="0.25">
      <c r="L125" s="1" t="str">
        <f t="shared" ref="L125:L188" si="12">ip_to_string(F125)</f>
        <v>0.0.0.0</v>
      </c>
      <c r="M125" s="3">
        <f t="shared" ref="M125:M188" si="13">(2^32+J125)*TIME(0,0,1)+2+TIME($N$3,0,0)</f>
        <v>49712.352962962963</v>
      </c>
      <c r="N125" s="4">
        <f t="shared" ref="N125:N188" si="14" xml:space="preserve"> 4 + 1 + 2 + 1 + LEN(B125)+1 + 4 + IF(OR(D125=1,D125=4,D125=6),LEN(E125)+1,0) + IF(OR(D125=2,D125=3,D125=5),4,0) + 5</f>
        <v>18</v>
      </c>
    </row>
    <row r="126" spans="12:14" x14ac:dyDescent="0.25">
      <c r="L126" s="1" t="str">
        <f t="shared" si="12"/>
        <v>0.0.0.0</v>
      </c>
      <c r="M126" s="3">
        <f t="shared" si="13"/>
        <v>49712.352962962963</v>
      </c>
      <c r="N126" s="4">
        <f t="shared" si="14"/>
        <v>18</v>
      </c>
    </row>
    <row r="127" spans="12:14" x14ac:dyDescent="0.25">
      <c r="L127" s="1" t="str">
        <f t="shared" si="12"/>
        <v>0.0.0.0</v>
      </c>
      <c r="M127" s="3">
        <f t="shared" si="13"/>
        <v>49712.352962962963</v>
      </c>
      <c r="N127" s="4">
        <f t="shared" si="14"/>
        <v>18</v>
      </c>
    </row>
    <row r="128" spans="12:14" x14ac:dyDescent="0.25">
      <c r="L128" s="1" t="str">
        <f t="shared" si="12"/>
        <v>0.0.0.0</v>
      </c>
      <c r="M128" s="3">
        <f t="shared" si="13"/>
        <v>49712.352962962963</v>
      </c>
      <c r="N128" s="4">
        <f t="shared" si="14"/>
        <v>18</v>
      </c>
    </row>
    <row r="129" spans="12:14" x14ac:dyDescent="0.25">
      <c r="L129" s="1" t="str">
        <f t="shared" si="12"/>
        <v>0.0.0.0</v>
      </c>
      <c r="M129" s="3">
        <f t="shared" si="13"/>
        <v>49712.352962962963</v>
      </c>
      <c r="N129" s="4">
        <f t="shared" si="14"/>
        <v>18</v>
      </c>
    </row>
    <row r="130" spans="12:14" x14ac:dyDescent="0.25">
      <c r="L130" s="1" t="str">
        <f t="shared" si="12"/>
        <v>0.0.0.0</v>
      </c>
      <c r="M130" s="3">
        <f t="shared" si="13"/>
        <v>49712.352962962963</v>
      </c>
      <c r="N130" s="4">
        <f t="shared" si="14"/>
        <v>18</v>
      </c>
    </row>
    <row r="131" spans="12:14" x14ac:dyDescent="0.25">
      <c r="L131" s="1" t="str">
        <f t="shared" si="12"/>
        <v>0.0.0.0</v>
      </c>
      <c r="M131" s="3">
        <f t="shared" si="13"/>
        <v>49712.352962962963</v>
      </c>
      <c r="N131" s="4">
        <f t="shared" si="14"/>
        <v>18</v>
      </c>
    </row>
    <row r="132" spans="12:14" x14ac:dyDescent="0.25">
      <c r="L132" s="1" t="str">
        <f t="shared" si="12"/>
        <v>0.0.0.0</v>
      </c>
      <c r="M132" s="3">
        <f t="shared" si="13"/>
        <v>49712.352962962963</v>
      </c>
      <c r="N132" s="4">
        <f t="shared" si="14"/>
        <v>18</v>
      </c>
    </row>
    <row r="133" spans="12:14" x14ac:dyDescent="0.25">
      <c r="L133" s="1" t="str">
        <f t="shared" si="12"/>
        <v>0.0.0.0</v>
      </c>
      <c r="M133" s="3">
        <f t="shared" si="13"/>
        <v>49712.352962962963</v>
      </c>
      <c r="N133" s="4">
        <f t="shared" si="14"/>
        <v>18</v>
      </c>
    </row>
    <row r="134" spans="12:14" x14ac:dyDescent="0.25">
      <c r="L134" s="1" t="str">
        <f t="shared" si="12"/>
        <v>0.0.0.0</v>
      </c>
      <c r="M134" s="3">
        <f t="shared" si="13"/>
        <v>49712.352962962963</v>
      </c>
      <c r="N134" s="4">
        <f t="shared" si="14"/>
        <v>18</v>
      </c>
    </row>
    <row r="135" spans="12:14" x14ac:dyDescent="0.25">
      <c r="L135" s="1" t="str">
        <f t="shared" si="12"/>
        <v>0.0.0.0</v>
      </c>
      <c r="M135" s="3">
        <f t="shared" si="13"/>
        <v>49712.352962962963</v>
      </c>
      <c r="N135" s="4">
        <f t="shared" si="14"/>
        <v>18</v>
      </c>
    </row>
    <row r="136" spans="12:14" x14ac:dyDescent="0.25">
      <c r="L136" s="1" t="str">
        <f t="shared" si="12"/>
        <v>0.0.0.0</v>
      </c>
      <c r="M136" s="3">
        <f t="shared" si="13"/>
        <v>49712.352962962963</v>
      </c>
      <c r="N136" s="4">
        <f t="shared" si="14"/>
        <v>18</v>
      </c>
    </row>
    <row r="137" spans="12:14" x14ac:dyDescent="0.25">
      <c r="L137" s="1" t="str">
        <f t="shared" si="12"/>
        <v>0.0.0.0</v>
      </c>
      <c r="M137" s="3">
        <f t="shared" si="13"/>
        <v>49712.352962962963</v>
      </c>
      <c r="N137" s="4">
        <f t="shared" si="14"/>
        <v>18</v>
      </c>
    </row>
    <row r="138" spans="12:14" x14ac:dyDescent="0.25">
      <c r="L138" s="1" t="str">
        <f t="shared" si="12"/>
        <v>0.0.0.0</v>
      </c>
      <c r="M138" s="3">
        <f t="shared" si="13"/>
        <v>49712.352962962963</v>
      </c>
      <c r="N138" s="4">
        <f t="shared" si="14"/>
        <v>18</v>
      </c>
    </row>
    <row r="139" spans="12:14" x14ac:dyDescent="0.25">
      <c r="L139" s="1" t="str">
        <f t="shared" si="12"/>
        <v>0.0.0.0</v>
      </c>
      <c r="M139" s="3">
        <f t="shared" si="13"/>
        <v>49712.352962962963</v>
      </c>
      <c r="N139" s="4">
        <f t="shared" si="14"/>
        <v>18</v>
      </c>
    </row>
    <row r="140" spans="12:14" x14ac:dyDescent="0.25">
      <c r="L140" s="1" t="str">
        <f t="shared" si="12"/>
        <v>0.0.0.0</v>
      </c>
      <c r="M140" s="3">
        <f t="shared" si="13"/>
        <v>49712.352962962963</v>
      </c>
      <c r="N140" s="4">
        <f t="shared" si="14"/>
        <v>18</v>
      </c>
    </row>
    <row r="141" spans="12:14" x14ac:dyDescent="0.25">
      <c r="L141" s="1" t="str">
        <f t="shared" si="12"/>
        <v>0.0.0.0</v>
      </c>
      <c r="M141" s="3">
        <f t="shared" si="13"/>
        <v>49712.352962962963</v>
      </c>
      <c r="N141" s="4">
        <f t="shared" si="14"/>
        <v>18</v>
      </c>
    </row>
    <row r="142" spans="12:14" x14ac:dyDescent="0.25">
      <c r="L142" s="1" t="str">
        <f t="shared" si="12"/>
        <v>0.0.0.0</v>
      </c>
      <c r="M142" s="3">
        <f t="shared" si="13"/>
        <v>49712.352962962963</v>
      </c>
      <c r="N142" s="4">
        <f t="shared" si="14"/>
        <v>18</v>
      </c>
    </row>
    <row r="143" spans="12:14" x14ac:dyDescent="0.25">
      <c r="L143" s="1" t="str">
        <f t="shared" si="12"/>
        <v>0.0.0.0</v>
      </c>
      <c r="M143" s="3">
        <f t="shared" si="13"/>
        <v>49712.352962962963</v>
      </c>
      <c r="N143" s="4">
        <f t="shared" si="14"/>
        <v>18</v>
      </c>
    </row>
    <row r="144" spans="12:14" x14ac:dyDescent="0.25">
      <c r="L144" s="1" t="str">
        <f t="shared" si="12"/>
        <v>0.0.0.0</v>
      </c>
      <c r="M144" s="3">
        <f t="shared" si="13"/>
        <v>49712.352962962963</v>
      </c>
      <c r="N144" s="4">
        <f t="shared" si="14"/>
        <v>18</v>
      </c>
    </row>
    <row r="145" spans="12:14" x14ac:dyDescent="0.25">
      <c r="L145" s="1" t="str">
        <f t="shared" si="12"/>
        <v>0.0.0.0</v>
      </c>
      <c r="M145" s="3">
        <f t="shared" si="13"/>
        <v>49712.352962962963</v>
      </c>
      <c r="N145" s="4">
        <f t="shared" si="14"/>
        <v>18</v>
      </c>
    </row>
    <row r="146" spans="12:14" x14ac:dyDescent="0.25">
      <c r="L146" s="1" t="str">
        <f t="shared" si="12"/>
        <v>0.0.0.0</v>
      </c>
      <c r="M146" s="3">
        <f t="shared" si="13"/>
        <v>49712.352962962963</v>
      </c>
      <c r="N146" s="4">
        <f t="shared" si="14"/>
        <v>18</v>
      </c>
    </row>
    <row r="147" spans="12:14" x14ac:dyDescent="0.25">
      <c r="L147" s="1" t="str">
        <f t="shared" si="12"/>
        <v>0.0.0.0</v>
      </c>
      <c r="M147" s="3">
        <f t="shared" si="13"/>
        <v>49712.352962962963</v>
      </c>
      <c r="N147" s="4">
        <f t="shared" si="14"/>
        <v>18</v>
      </c>
    </row>
    <row r="148" spans="12:14" x14ac:dyDescent="0.25">
      <c r="L148" s="1" t="str">
        <f t="shared" si="12"/>
        <v>0.0.0.0</v>
      </c>
      <c r="M148" s="3">
        <f t="shared" si="13"/>
        <v>49712.352962962963</v>
      </c>
      <c r="N148" s="4">
        <f t="shared" si="14"/>
        <v>18</v>
      </c>
    </row>
    <row r="149" spans="12:14" x14ac:dyDescent="0.25">
      <c r="L149" s="1" t="str">
        <f t="shared" si="12"/>
        <v>0.0.0.0</v>
      </c>
      <c r="M149" s="3">
        <f t="shared" si="13"/>
        <v>49712.352962962963</v>
      </c>
      <c r="N149" s="4">
        <f t="shared" si="14"/>
        <v>18</v>
      </c>
    </row>
    <row r="150" spans="12:14" x14ac:dyDescent="0.25">
      <c r="L150" s="1" t="str">
        <f t="shared" si="12"/>
        <v>0.0.0.0</v>
      </c>
      <c r="M150" s="3">
        <f t="shared" si="13"/>
        <v>49712.352962962963</v>
      </c>
      <c r="N150" s="4">
        <f t="shared" si="14"/>
        <v>18</v>
      </c>
    </row>
    <row r="151" spans="12:14" x14ac:dyDescent="0.25">
      <c r="L151" s="1" t="str">
        <f t="shared" si="12"/>
        <v>0.0.0.0</v>
      </c>
      <c r="M151" s="3">
        <f t="shared" si="13"/>
        <v>49712.352962962963</v>
      </c>
      <c r="N151" s="4">
        <f t="shared" si="14"/>
        <v>18</v>
      </c>
    </row>
    <row r="152" spans="12:14" x14ac:dyDescent="0.25">
      <c r="L152" s="1" t="str">
        <f t="shared" si="12"/>
        <v>0.0.0.0</v>
      </c>
      <c r="M152" s="3">
        <f t="shared" si="13"/>
        <v>49712.352962962963</v>
      </c>
      <c r="N152" s="4">
        <f t="shared" si="14"/>
        <v>18</v>
      </c>
    </row>
    <row r="153" spans="12:14" x14ac:dyDescent="0.25">
      <c r="L153" s="1" t="str">
        <f t="shared" si="12"/>
        <v>0.0.0.0</v>
      </c>
      <c r="M153" s="3">
        <f t="shared" si="13"/>
        <v>49712.352962962963</v>
      </c>
      <c r="N153" s="4">
        <f t="shared" si="14"/>
        <v>18</v>
      </c>
    </row>
    <row r="154" spans="12:14" x14ac:dyDescent="0.25">
      <c r="L154" s="1" t="str">
        <f t="shared" si="12"/>
        <v>0.0.0.0</v>
      </c>
      <c r="M154" s="3">
        <f t="shared" si="13"/>
        <v>49712.352962962963</v>
      </c>
      <c r="N154" s="4">
        <f t="shared" si="14"/>
        <v>18</v>
      </c>
    </row>
    <row r="155" spans="12:14" x14ac:dyDescent="0.25">
      <c r="L155" s="1" t="str">
        <f t="shared" si="12"/>
        <v>0.0.0.0</v>
      </c>
      <c r="M155" s="3">
        <f t="shared" si="13"/>
        <v>49712.352962962963</v>
      </c>
      <c r="N155" s="4">
        <f t="shared" si="14"/>
        <v>18</v>
      </c>
    </row>
    <row r="156" spans="12:14" x14ac:dyDescent="0.25">
      <c r="L156" s="1" t="str">
        <f t="shared" si="12"/>
        <v>0.0.0.0</v>
      </c>
      <c r="M156" s="3">
        <f t="shared" si="13"/>
        <v>49712.352962962963</v>
      </c>
      <c r="N156" s="4">
        <f t="shared" si="14"/>
        <v>18</v>
      </c>
    </row>
    <row r="157" spans="12:14" x14ac:dyDescent="0.25">
      <c r="L157" s="1" t="str">
        <f t="shared" si="12"/>
        <v>0.0.0.0</v>
      </c>
      <c r="M157" s="3">
        <f t="shared" si="13"/>
        <v>49712.352962962963</v>
      </c>
      <c r="N157" s="4">
        <f t="shared" si="14"/>
        <v>18</v>
      </c>
    </row>
    <row r="158" spans="12:14" x14ac:dyDescent="0.25">
      <c r="L158" s="1" t="str">
        <f t="shared" si="12"/>
        <v>0.0.0.0</v>
      </c>
      <c r="M158" s="3">
        <f t="shared" si="13"/>
        <v>49712.352962962963</v>
      </c>
      <c r="N158" s="4">
        <f t="shared" si="14"/>
        <v>18</v>
      </c>
    </row>
    <row r="159" spans="12:14" x14ac:dyDescent="0.25">
      <c r="L159" s="1" t="str">
        <f t="shared" si="12"/>
        <v>0.0.0.0</v>
      </c>
      <c r="M159" s="3">
        <f t="shared" si="13"/>
        <v>49712.352962962963</v>
      </c>
      <c r="N159" s="4">
        <f t="shared" si="14"/>
        <v>18</v>
      </c>
    </row>
    <row r="160" spans="12:14" x14ac:dyDescent="0.25">
      <c r="L160" s="1" t="str">
        <f t="shared" si="12"/>
        <v>0.0.0.0</v>
      </c>
      <c r="M160" s="3">
        <f t="shared" si="13"/>
        <v>49712.352962962963</v>
      </c>
      <c r="N160" s="4">
        <f t="shared" si="14"/>
        <v>18</v>
      </c>
    </row>
    <row r="161" spans="12:14" x14ac:dyDescent="0.25">
      <c r="L161" s="1" t="str">
        <f t="shared" si="12"/>
        <v>0.0.0.0</v>
      </c>
      <c r="M161" s="3">
        <f t="shared" si="13"/>
        <v>49712.352962962963</v>
      </c>
      <c r="N161" s="4">
        <f t="shared" si="14"/>
        <v>18</v>
      </c>
    </row>
    <row r="162" spans="12:14" x14ac:dyDescent="0.25">
      <c r="L162" s="1" t="str">
        <f t="shared" si="12"/>
        <v>0.0.0.0</v>
      </c>
      <c r="M162" s="3">
        <f t="shared" si="13"/>
        <v>49712.352962962963</v>
      </c>
      <c r="N162" s="4">
        <f t="shared" si="14"/>
        <v>18</v>
      </c>
    </row>
    <row r="163" spans="12:14" x14ac:dyDescent="0.25">
      <c r="L163" s="1" t="str">
        <f t="shared" si="12"/>
        <v>0.0.0.0</v>
      </c>
      <c r="M163" s="3">
        <f t="shared" si="13"/>
        <v>49712.352962962963</v>
      </c>
      <c r="N163" s="4">
        <f t="shared" si="14"/>
        <v>18</v>
      </c>
    </row>
    <row r="164" spans="12:14" x14ac:dyDescent="0.25">
      <c r="L164" s="1" t="str">
        <f t="shared" si="12"/>
        <v>0.0.0.0</v>
      </c>
      <c r="M164" s="3">
        <f t="shared" si="13"/>
        <v>49712.352962962963</v>
      </c>
      <c r="N164" s="4">
        <f t="shared" si="14"/>
        <v>18</v>
      </c>
    </row>
    <row r="165" spans="12:14" x14ac:dyDescent="0.25">
      <c r="L165" s="1" t="str">
        <f t="shared" si="12"/>
        <v>0.0.0.0</v>
      </c>
      <c r="M165" s="3">
        <f t="shared" si="13"/>
        <v>49712.352962962963</v>
      </c>
      <c r="N165" s="4">
        <f t="shared" si="14"/>
        <v>18</v>
      </c>
    </row>
    <row r="166" spans="12:14" x14ac:dyDescent="0.25">
      <c r="L166" s="1" t="str">
        <f t="shared" si="12"/>
        <v>0.0.0.0</v>
      </c>
      <c r="M166" s="3">
        <f t="shared" si="13"/>
        <v>49712.352962962963</v>
      </c>
      <c r="N166" s="4">
        <f t="shared" si="14"/>
        <v>18</v>
      </c>
    </row>
    <row r="167" spans="12:14" x14ac:dyDescent="0.25">
      <c r="L167" s="1" t="str">
        <f t="shared" si="12"/>
        <v>0.0.0.0</v>
      </c>
      <c r="M167" s="3">
        <f t="shared" si="13"/>
        <v>49712.352962962963</v>
      </c>
      <c r="N167" s="4">
        <f t="shared" si="14"/>
        <v>18</v>
      </c>
    </row>
    <row r="168" spans="12:14" x14ac:dyDescent="0.25">
      <c r="L168" s="1" t="str">
        <f t="shared" si="12"/>
        <v>0.0.0.0</v>
      </c>
      <c r="M168" s="3">
        <f t="shared" si="13"/>
        <v>49712.352962962963</v>
      </c>
      <c r="N168" s="4">
        <f t="shared" si="14"/>
        <v>18</v>
      </c>
    </row>
    <row r="169" spans="12:14" x14ac:dyDescent="0.25">
      <c r="L169" s="1" t="str">
        <f t="shared" si="12"/>
        <v>0.0.0.0</v>
      </c>
      <c r="M169" s="3">
        <f t="shared" si="13"/>
        <v>49712.352962962963</v>
      </c>
      <c r="N169" s="4">
        <f t="shared" si="14"/>
        <v>18</v>
      </c>
    </row>
    <row r="170" spans="12:14" x14ac:dyDescent="0.25">
      <c r="L170" s="1" t="str">
        <f t="shared" si="12"/>
        <v>0.0.0.0</v>
      </c>
      <c r="M170" s="3">
        <f t="shared" si="13"/>
        <v>49712.352962962963</v>
      </c>
      <c r="N170" s="4">
        <f t="shared" si="14"/>
        <v>18</v>
      </c>
    </row>
    <row r="171" spans="12:14" x14ac:dyDescent="0.25">
      <c r="L171" s="1" t="str">
        <f t="shared" si="12"/>
        <v>0.0.0.0</v>
      </c>
      <c r="M171" s="3">
        <f t="shared" si="13"/>
        <v>49712.352962962963</v>
      </c>
      <c r="N171" s="4">
        <f t="shared" si="14"/>
        <v>18</v>
      </c>
    </row>
    <row r="172" spans="12:14" x14ac:dyDescent="0.25">
      <c r="L172" s="1" t="str">
        <f t="shared" si="12"/>
        <v>0.0.0.0</v>
      </c>
      <c r="M172" s="3">
        <f t="shared" si="13"/>
        <v>49712.352962962963</v>
      </c>
      <c r="N172" s="4">
        <f t="shared" si="14"/>
        <v>18</v>
      </c>
    </row>
    <row r="173" spans="12:14" x14ac:dyDescent="0.25">
      <c r="L173" s="1" t="str">
        <f t="shared" si="12"/>
        <v>0.0.0.0</v>
      </c>
      <c r="M173" s="3">
        <f t="shared" si="13"/>
        <v>49712.352962962963</v>
      </c>
      <c r="N173" s="4">
        <f t="shared" si="14"/>
        <v>18</v>
      </c>
    </row>
    <row r="174" spans="12:14" x14ac:dyDescent="0.25">
      <c r="L174" s="1" t="str">
        <f t="shared" si="12"/>
        <v>0.0.0.0</v>
      </c>
      <c r="M174" s="3">
        <f t="shared" si="13"/>
        <v>49712.352962962963</v>
      </c>
      <c r="N174" s="4">
        <f t="shared" si="14"/>
        <v>18</v>
      </c>
    </row>
    <row r="175" spans="12:14" x14ac:dyDescent="0.25">
      <c r="L175" s="1" t="str">
        <f t="shared" si="12"/>
        <v>0.0.0.0</v>
      </c>
      <c r="M175" s="3">
        <f t="shared" si="13"/>
        <v>49712.352962962963</v>
      </c>
      <c r="N175" s="4">
        <f t="shared" si="14"/>
        <v>18</v>
      </c>
    </row>
    <row r="176" spans="12:14" x14ac:dyDescent="0.25">
      <c r="L176" s="1" t="str">
        <f t="shared" si="12"/>
        <v>0.0.0.0</v>
      </c>
      <c r="M176" s="3">
        <f t="shared" si="13"/>
        <v>49712.352962962963</v>
      </c>
      <c r="N176" s="4">
        <f t="shared" si="14"/>
        <v>18</v>
      </c>
    </row>
    <row r="177" spans="12:14" x14ac:dyDescent="0.25">
      <c r="L177" s="1" t="str">
        <f t="shared" si="12"/>
        <v>0.0.0.0</v>
      </c>
      <c r="M177" s="3">
        <f t="shared" si="13"/>
        <v>49712.352962962963</v>
      </c>
      <c r="N177" s="4">
        <f t="shared" si="14"/>
        <v>18</v>
      </c>
    </row>
    <row r="178" spans="12:14" x14ac:dyDescent="0.25">
      <c r="L178" s="1" t="str">
        <f t="shared" si="12"/>
        <v>0.0.0.0</v>
      </c>
      <c r="M178" s="3">
        <f t="shared" si="13"/>
        <v>49712.352962962963</v>
      </c>
      <c r="N178" s="4">
        <f t="shared" si="14"/>
        <v>18</v>
      </c>
    </row>
    <row r="179" spans="12:14" x14ac:dyDescent="0.25">
      <c r="L179" s="1" t="str">
        <f t="shared" si="12"/>
        <v>0.0.0.0</v>
      </c>
      <c r="M179" s="3">
        <f t="shared" si="13"/>
        <v>49712.352962962963</v>
      </c>
      <c r="N179" s="4">
        <f t="shared" si="14"/>
        <v>18</v>
      </c>
    </row>
    <row r="180" spans="12:14" x14ac:dyDescent="0.25">
      <c r="L180" s="1" t="str">
        <f t="shared" si="12"/>
        <v>0.0.0.0</v>
      </c>
      <c r="M180" s="3">
        <f t="shared" si="13"/>
        <v>49712.352962962963</v>
      </c>
      <c r="N180" s="4">
        <f t="shared" si="14"/>
        <v>18</v>
      </c>
    </row>
    <row r="181" spans="12:14" x14ac:dyDescent="0.25">
      <c r="L181" s="1" t="str">
        <f t="shared" si="12"/>
        <v>0.0.0.0</v>
      </c>
      <c r="M181" s="3">
        <f t="shared" si="13"/>
        <v>49712.352962962963</v>
      </c>
      <c r="N181" s="4">
        <f t="shared" si="14"/>
        <v>18</v>
      </c>
    </row>
    <row r="182" spans="12:14" x14ac:dyDescent="0.25">
      <c r="L182" s="1" t="str">
        <f t="shared" si="12"/>
        <v>0.0.0.0</v>
      </c>
      <c r="M182" s="3">
        <f t="shared" si="13"/>
        <v>49712.352962962963</v>
      </c>
      <c r="N182" s="4">
        <f t="shared" si="14"/>
        <v>18</v>
      </c>
    </row>
    <row r="183" spans="12:14" x14ac:dyDescent="0.25">
      <c r="L183" s="1" t="str">
        <f t="shared" si="12"/>
        <v>0.0.0.0</v>
      </c>
      <c r="M183" s="3">
        <f t="shared" si="13"/>
        <v>49712.352962962963</v>
      </c>
      <c r="N183" s="4">
        <f t="shared" si="14"/>
        <v>18</v>
      </c>
    </row>
    <row r="184" spans="12:14" x14ac:dyDescent="0.25">
      <c r="L184" s="1" t="str">
        <f t="shared" si="12"/>
        <v>0.0.0.0</v>
      </c>
      <c r="M184" s="3">
        <f t="shared" si="13"/>
        <v>49712.352962962963</v>
      </c>
      <c r="N184" s="4">
        <f t="shared" si="14"/>
        <v>18</v>
      </c>
    </row>
    <row r="185" spans="12:14" x14ac:dyDescent="0.25">
      <c r="L185" s="1" t="str">
        <f t="shared" si="12"/>
        <v>0.0.0.0</v>
      </c>
      <c r="M185" s="3">
        <f t="shared" si="13"/>
        <v>49712.352962962963</v>
      </c>
      <c r="N185" s="4">
        <f t="shared" si="14"/>
        <v>18</v>
      </c>
    </row>
    <row r="186" spans="12:14" x14ac:dyDescent="0.25">
      <c r="L186" s="1" t="str">
        <f t="shared" si="12"/>
        <v>0.0.0.0</v>
      </c>
      <c r="M186" s="3">
        <f t="shared" si="13"/>
        <v>49712.352962962963</v>
      </c>
      <c r="N186" s="4">
        <f t="shared" si="14"/>
        <v>18</v>
      </c>
    </row>
    <row r="187" spans="12:14" x14ac:dyDescent="0.25">
      <c r="L187" s="1" t="str">
        <f t="shared" si="12"/>
        <v>0.0.0.0</v>
      </c>
      <c r="M187" s="3">
        <f t="shared" si="13"/>
        <v>49712.352962962963</v>
      </c>
      <c r="N187" s="4">
        <f t="shared" si="14"/>
        <v>18</v>
      </c>
    </row>
    <row r="188" spans="12:14" x14ac:dyDescent="0.25">
      <c r="L188" s="1" t="str">
        <f t="shared" si="12"/>
        <v>0.0.0.0</v>
      </c>
      <c r="M188" s="3">
        <f t="shared" si="13"/>
        <v>49712.352962962963</v>
      </c>
      <c r="N188" s="4">
        <f t="shared" si="14"/>
        <v>18</v>
      </c>
    </row>
    <row r="189" spans="12:14" x14ac:dyDescent="0.25">
      <c r="L189" s="1" t="str">
        <f t="shared" ref="L189:L252" si="15">ip_to_string(F189)</f>
        <v>0.0.0.0</v>
      </c>
      <c r="M189" s="3">
        <f t="shared" ref="M189:M252" si="16">(2^32+J189)*TIME(0,0,1)+2+TIME($N$3,0,0)</f>
        <v>49712.352962962963</v>
      </c>
      <c r="N189" s="4">
        <f t="shared" ref="N189:N252" si="17" xml:space="preserve"> 4 + 1 + 2 + 1 + LEN(B189)+1 + 4 + IF(OR(D189=1,D189=4,D189=6),LEN(E189)+1,0) + IF(OR(D189=2,D189=3,D189=5),4,0) + 5</f>
        <v>18</v>
      </c>
    </row>
    <row r="190" spans="12:14" x14ac:dyDescent="0.25">
      <c r="L190" s="1" t="str">
        <f t="shared" si="15"/>
        <v>0.0.0.0</v>
      </c>
      <c r="M190" s="3">
        <f t="shared" si="16"/>
        <v>49712.352962962963</v>
      </c>
      <c r="N190" s="4">
        <f t="shared" si="17"/>
        <v>18</v>
      </c>
    </row>
    <row r="191" spans="12:14" x14ac:dyDescent="0.25">
      <c r="L191" s="1" t="str">
        <f t="shared" si="15"/>
        <v>0.0.0.0</v>
      </c>
      <c r="M191" s="3">
        <f t="shared" si="16"/>
        <v>49712.352962962963</v>
      </c>
      <c r="N191" s="4">
        <f t="shared" si="17"/>
        <v>18</v>
      </c>
    </row>
    <row r="192" spans="12:14" x14ac:dyDescent="0.25">
      <c r="L192" s="1" t="str">
        <f t="shared" si="15"/>
        <v>0.0.0.0</v>
      </c>
      <c r="M192" s="3">
        <f t="shared" si="16"/>
        <v>49712.352962962963</v>
      </c>
      <c r="N192" s="4">
        <f t="shared" si="17"/>
        <v>18</v>
      </c>
    </row>
    <row r="193" spans="12:14" x14ac:dyDescent="0.25">
      <c r="L193" s="1" t="str">
        <f t="shared" si="15"/>
        <v>0.0.0.0</v>
      </c>
      <c r="M193" s="3">
        <f t="shared" si="16"/>
        <v>49712.352962962963</v>
      </c>
      <c r="N193" s="4">
        <f t="shared" si="17"/>
        <v>18</v>
      </c>
    </row>
    <row r="194" spans="12:14" x14ac:dyDescent="0.25">
      <c r="L194" s="1" t="str">
        <f t="shared" si="15"/>
        <v>0.0.0.0</v>
      </c>
      <c r="M194" s="3">
        <f t="shared" si="16"/>
        <v>49712.352962962963</v>
      </c>
      <c r="N194" s="4">
        <f t="shared" si="17"/>
        <v>18</v>
      </c>
    </row>
    <row r="195" spans="12:14" x14ac:dyDescent="0.25">
      <c r="L195" s="1" t="str">
        <f t="shared" si="15"/>
        <v>0.0.0.0</v>
      </c>
      <c r="M195" s="3">
        <f t="shared" si="16"/>
        <v>49712.352962962963</v>
      </c>
      <c r="N195" s="4">
        <f t="shared" si="17"/>
        <v>18</v>
      </c>
    </row>
    <row r="196" spans="12:14" x14ac:dyDescent="0.25">
      <c r="L196" s="1" t="str">
        <f t="shared" si="15"/>
        <v>0.0.0.0</v>
      </c>
      <c r="M196" s="3">
        <f t="shared" si="16"/>
        <v>49712.352962962963</v>
      </c>
      <c r="N196" s="4">
        <f t="shared" si="17"/>
        <v>18</v>
      </c>
    </row>
    <row r="197" spans="12:14" x14ac:dyDescent="0.25">
      <c r="L197" s="1" t="str">
        <f t="shared" si="15"/>
        <v>0.0.0.0</v>
      </c>
      <c r="M197" s="3">
        <f t="shared" si="16"/>
        <v>49712.352962962963</v>
      </c>
      <c r="N197" s="4">
        <f t="shared" si="17"/>
        <v>18</v>
      </c>
    </row>
    <row r="198" spans="12:14" x14ac:dyDescent="0.25">
      <c r="L198" s="1" t="str">
        <f t="shared" si="15"/>
        <v>0.0.0.0</v>
      </c>
      <c r="M198" s="3">
        <f t="shared" si="16"/>
        <v>49712.352962962963</v>
      </c>
      <c r="N198" s="4">
        <f t="shared" si="17"/>
        <v>18</v>
      </c>
    </row>
    <row r="199" spans="12:14" x14ac:dyDescent="0.25">
      <c r="L199" s="1" t="str">
        <f t="shared" si="15"/>
        <v>0.0.0.0</v>
      </c>
      <c r="M199" s="3">
        <f t="shared" si="16"/>
        <v>49712.352962962963</v>
      </c>
      <c r="N199" s="4">
        <f t="shared" si="17"/>
        <v>18</v>
      </c>
    </row>
    <row r="200" spans="12:14" x14ac:dyDescent="0.25">
      <c r="L200" s="1" t="str">
        <f t="shared" si="15"/>
        <v>0.0.0.0</v>
      </c>
      <c r="M200" s="3">
        <f t="shared" si="16"/>
        <v>49712.352962962963</v>
      </c>
      <c r="N200" s="4">
        <f t="shared" si="17"/>
        <v>18</v>
      </c>
    </row>
    <row r="201" spans="12:14" x14ac:dyDescent="0.25">
      <c r="L201" s="1" t="str">
        <f t="shared" si="15"/>
        <v>0.0.0.0</v>
      </c>
      <c r="M201" s="3">
        <f t="shared" si="16"/>
        <v>49712.352962962963</v>
      </c>
      <c r="N201" s="4">
        <f t="shared" si="17"/>
        <v>18</v>
      </c>
    </row>
    <row r="202" spans="12:14" x14ac:dyDescent="0.25">
      <c r="L202" s="1" t="str">
        <f t="shared" si="15"/>
        <v>0.0.0.0</v>
      </c>
      <c r="M202" s="3">
        <f t="shared" si="16"/>
        <v>49712.352962962963</v>
      </c>
      <c r="N202" s="4">
        <f t="shared" si="17"/>
        <v>18</v>
      </c>
    </row>
    <row r="203" spans="12:14" x14ac:dyDescent="0.25">
      <c r="L203" s="1" t="str">
        <f t="shared" si="15"/>
        <v>0.0.0.0</v>
      </c>
      <c r="M203" s="3">
        <f t="shared" si="16"/>
        <v>49712.352962962963</v>
      </c>
      <c r="N203" s="4">
        <f t="shared" si="17"/>
        <v>18</v>
      </c>
    </row>
    <row r="204" spans="12:14" x14ac:dyDescent="0.25">
      <c r="L204" s="1" t="str">
        <f t="shared" si="15"/>
        <v>0.0.0.0</v>
      </c>
      <c r="M204" s="3">
        <f t="shared" si="16"/>
        <v>49712.352962962963</v>
      </c>
      <c r="N204" s="4">
        <f t="shared" si="17"/>
        <v>18</v>
      </c>
    </row>
    <row r="205" spans="12:14" x14ac:dyDescent="0.25">
      <c r="L205" s="1" t="str">
        <f t="shared" si="15"/>
        <v>0.0.0.0</v>
      </c>
      <c r="M205" s="3">
        <f t="shared" si="16"/>
        <v>49712.352962962963</v>
      </c>
      <c r="N205" s="4">
        <f t="shared" si="17"/>
        <v>18</v>
      </c>
    </row>
    <row r="206" spans="12:14" x14ac:dyDescent="0.25">
      <c r="L206" s="1" t="str">
        <f t="shared" si="15"/>
        <v>0.0.0.0</v>
      </c>
      <c r="M206" s="3">
        <f t="shared" si="16"/>
        <v>49712.352962962963</v>
      </c>
      <c r="N206" s="4">
        <f t="shared" si="17"/>
        <v>18</v>
      </c>
    </row>
    <row r="207" spans="12:14" x14ac:dyDescent="0.25">
      <c r="L207" s="1" t="str">
        <f t="shared" si="15"/>
        <v>0.0.0.0</v>
      </c>
      <c r="M207" s="3">
        <f t="shared" si="16"/>
        <v>49712.352962962963</v>
      </c>
      <c r="N207" s="4">
        <f t="shared" si="17"/>
        <v>18</v>
      </c>
    </row>
    <row r="208" spans="12:14" x14ac:dyDescent="0.25">
      <c r="L208" s="1" t="str">
        <f t="shared" si="15"/>
        <v>0.0.0.0</v>
      </c>
      <c r="M208" s="3">
        <f t="shared" si="16"/>
        <v>49712.352962962963</v>
      </c>
      <c r="N208" s="4">
        <f t="shared" si="17"/>
        <v>18</v>
      </c>
    </row>
    <row r="209" spans="12:14" x14ac:dyDescent="0.25">
      <c r="L209" s="1" t="str">
        <f t="shared" si="15"/>
        <v>0.0.0.0</v>
      </c>
      <c r="M209" s="3">
        <f t="shared" si="16"/>
        <v>49712.352962962963</v>
      </c>
      <c r="N209" s="4">
        <f t="shared" si="17"/>
        <v>18</v>
      </c>
    </row>
    <row r="210" spans="12:14" x14ac:dyDescent="0.25">
      <c r="L210" s="1" t="str">
        <f t="shared" si="15"/>
        <v>0.0.0.0</v>
      </c>
      <c r="M210" s="3">
        <f t="shared" si="16"/>
        <v>49712.352962962963</v>
      </c>
      <c r="N210" s="4">
        <f t="shared" si="17"/>
        <v>18</v>
      </c>
    </row>
    <row r="211" spans="12:14" x14ac:dyDescent="0.25">
      <c r="L211" s="1" t="str">
        <f t="shared" si="15"/>
        <v>0.0.0.0</v>
      </c>
      <c r="M211" s="3">
        <f t="shared" si="16"/>
        <v>49712.352962962963</v>
      </c>
      <c r="N211" s="4">
        <f t="shared" si="17"/>
        <v>18</v>
      </c>
    </row>
    <row r="212" spans="12:14" x14ac:dyDescent="0.25">
      <c r="L212" s="1" t="str">
        <f t="shared" si="15"/>
        <v>0.0.0.0</v>
      </c>
      <c r="M212" s="3">
        <f t="shared" si="16"/>
        <v>49712.352962962963</v>
      </c>
      <c r="N212" s="4">
        <f t="shared" si="17"/>
        <v>18</v>
      </c>
    </row>
    <row r="213" spans="12:14" x14ac:dyDescent="0.25">
      <c r="L213" s="1" t="str">
        <f t="shared" si="15"/>
        <v>0.0.0.0</v>
      </c>
      <c r="M213" s="3">
        <f t="shared" si="16"/>
        <v>49712.352962962963</v>
      </c>
      <c r="N213" s="4">
        <f t="shared" si="17"/>
        <v>18</v>
      </c>
    </row>
    <row r="214" spans="12:14" x14ac:dyDescent="0.25">
      <c r="L214" s="1" t="str">
        <f t="shared" si="15"/>
        <v>0.0.0.0</v>
      </c>
      <c r="M214" s="3">
        <f t="shared" si="16"/>
        <v>49712.352962962963</v>
      </c>
      <c r="N214" s="4">
        <f t="shared" si="17"/>
        <v>18</v>
      </c>
    </row>
    <row r="215" spans="12:14" x14ac:dyDescent="0.25">
      <c r="L215" s="1" t="str">
        <f t="shared" si="15"/>
        <v>0.0.0.0</v>
      </c>
      <c r="M215" s="3">
        <f t="shared" si="16"/>
        <v>49712.352962962963</v>
      </c>
      <c r="N215" s="4">
        <f t="shared" si="17"/>
        <v>18</v>
      </c>
    </row>
    <row r="216" spans="12:14" x14ac:dyDescent="0.25">
      <c r="L216" s="1" t="str">
        <f t="shared" si="15"/>
        <v>0.0.0.0</v>
      </c>
      <c r="M216" s="3">
        <f t="shared" si="16"/>
        <v>49712.352962962963</v>
      </c>
      <c r="N216" s="4">
        <f t="shared" si="17"/>
        <v>18</v>
      </c>
    </row>
    <row r="217" spans="12:14" x14ac:dyDescent="0.25">
      <c r="L217" s="1" t="str">
        <f t="shared" si="15"/>
        <v>0.0.0.0</v>
      </c>
      <c r="M217" s="3">
        <f t="shared" si="16"/>
        <v>49712.352962962963</v>
      </c>
      <c r="N217" s="4">
        <f t="shared" si="17"/>
        <v>18</v>
      </c>
    </row>
    <row r="218" spans="12:14" x14ac:dyDescent="0.25">
      <c r="L218" s="1" t="str">
        <f t="shared" si="15"/>
        <v>0.0.0.0</v>
      </c>
      <c r="M218" s="3">
        <f t="shared" si="16"/>
        <v>49712.352962962963</v>
      </c>
      <c r="N218" s="4">
        <f t="shared" si="17"/>
        <v>18</v>
      </c>
    </row>
    <row r="219" spans="12:14" x14ac:dyDescent="0.25">
      <c r="L219" s="1" t="str">
        <f t="shared" si="15"/>
        <v>0.0.0.0</v>
      </c>
      <c r="M219" s="3">
        <f t="shared" si="16"/>
        <v>49712.352962962963</v>
      </c>
      <c r="N219" s="4">
        <f t="shared" si="17"/>
        <v>18</v>
      </c>
    </row>
    <row r="220" spans="12:14" x14ac:dyDescent="0.25">
      <c r="L220" s="1" t="str">
        <f t="shared" si="15"/>
        <v>0.0.0.0</v>
      </c>
      <c r="M220" s="3">
        <f t="shared" si="16"/>
        <v>49712.352962962963</v>
      </c>
      <c r="N220" s="4">
        <f t="shared" si="17"/>
        <v>18</v>
      </c>
    </row>
    <row r="221" spans="12:14" x14ac:dyDescent="0.25">
      <c r="L221" s="1" t="str">
        <f t="shared" si="15"/>
        <v>0.0.0.0</v>
      </c>
      <c r="M221" s="3">
        <f t="shared" si="16"/>
        <v>49712.352962962963</v>
      </c>
      <c r="N221" s="4">
        <f t="shared" si="17"/>
        <v>18</v>
      </c>
    </row>
    <row r="222" spans="12:14" x14ac:dyDescent="0.25">
      <c r="L222" s="1" t="str">
        <f t="shared" si="15"/>
        <v>0.0.0.0</v>
      </c>
      <c r="M222" s="3">
        <f t="shared" si="16"/>
        <v>49712.352962962963</v>
      </c>
      <c r="N222" s="4">
        <f t="shared" si="17"/>
        <v>18</v>
      </c>
    </row>
    <row r="223" spans="12:14" x14ac:dyDescent="0.25">
      <c r="L223" s="1" t="str">
        <f t="shared" si="15"/>
        <v>0.0.0.0</v>
      </c>
      <c r="M223" s="3">
        <f t="shared" si="16"/>
        <v>49712.352962962963</v>
      </c>
      <c r="N223" s="4">
        <f t="shared" si="17"/>
        <v>18</v>
      </c>
    </row>
    <row r="224" spans="12:14" x14ac:dyDescent="0.25">
      <c r="L224" s="1" t="str">
        <f t="shared" si="15"/>
        <v>0.0.0.0</v>
      </c>
      <c r="M224" s="3">
        <f t="shared" si="16"/>
        <v>49712.352962962963</v>
      </c>
      <c r="N224" s="4">
        <f t="shared" si="17"/>
        <v>18</v>
      </c>
    </row>
    <row r="225" spans="12:14" x14ac:dyDescent="0.25">
      <c r="L225" s="1" t="str">
        <f t="shared" si="15"/>
        <v>0.0.0.0</v>
      </c>
      <c r="M225" s="3">
        <f t="shared" si="16"/>
        <v>49712.352962962963</v>
      </c>
      <c r="N225" s="4">
        <f t="shared" si="17"/>
        <v>18</v>
      </c>
    </row>
    <row r="226" spans="12:14" x14ac:dyDescent="0.25">
      <c r="L226" s="1" t="str">
        <f t="shared" si="15"/>
        <v>0.0.0.0</v>
      </c>
      <c r="M226" s="3">
        <f t="shared" si="16"/>
        <v>49712.352962962963</v>
      </c>
      <c r="N226" s="4">
        <f t="shared" si="17"/>
        <v>18</v>
      </c>
    </row>
    <row r="227" spans="12:14" x14ac:dyDescent="0.25">
      <c r="L227" s="1" t="str">
        <f t="shared" si="15"/>
        <v>0.0.0.0</v>
      </c>
      <c r="M227" s="3">
        <f t="shared" si="16"/>
        <v>49712.352962962963</v>
      </c>
      <c r="N227" s="4">
        <f t="shared" si="17"/>
        <v>18</v>
      </c>
    </row>
    <row r="228" spans="12:14" x14ac:dyDescent="0.25">
      <c r="L228" s="1" t="str">
        <f t="shared" si="15"/>
        <v>0.0.0.0</v>
      </c>
      <c r="M228" s="3">
        <f t="shared" si="16"/>
        <v>49712.352962962963</v>
      </c>
      <c r="N228" s="4">
        <f t="shared" si="17"/>
        <v>18</v>
      </c>
    </row>
    <row r="229" spans="12:14" x14ac:dyDescent="0.25">
      <c r="L229" s="1" t="str">
        <f t="shared" si="15"/>
        <v>0.0.0.0</v>
      </c>
      <c r="M229" s="3">
        <f t="shared" si="16"/>
        <v>49712.352962962963</v>
      </c>
      <c r="N229" s="4">
        <f t="shared" si="17"/>
        <v>18</v>
      </c>
    </row>
    <row r="230" spans="12:14" x14ac:dyDescent="0.25">
      <c r="L230" s="1" t="str">
        <f t="shared" si="15"/>
        <v>0.0.0.0</v>
      </c>
      <c r="M230" s="3">
        <f t="shared" si="16"/>
        <v>49712.352962962963</v>
      </c>
      <c r="N230" s="4">
        <f t="shared" si="17"/>
        <v>18</v>
      </c>
    </row>
    <row r="231" spans="12:14" x14ac:dyDescent="0.25">
      <c r="L231" s="1" t="str">
        <f t="shared" si="15"/>
        <v>0.0.0.0</v>
      </c>
      <c r="M231" s="3">
        <f t="shared" si="16"/>
        <v>49712.352962962963</v>
      </c>
      <c r="N231" s="4">
        <f t="shared" si="17"/>
        <v>18</v>
      </c>
    </row>
    <row r="232" spans="12:14" x14ac:dyDescent="0.25">
      <c r="L232" s="1" t="str">
        <f t="shared" si="15"/>
        <v>0.0.0.0</v>
      </c>
      <c r="M232" s="3">
        <f t="shared" si="16"/>
        <v>49712.352962962963</v>
      </c>
      <c r="N232" s="4">
        <f t="shared" si="17"/>
        <v>18</v>
      </c>
    </row>
    <row r="233" spans="12:14" x14ac:dyDescent="0.25">
      <c r="L233" s="1" t="str">
        <f t="shared" si="15"/>
        <v>0.0.0.0</v>
      </c>
      <c r="M233" s="3">
        <f t="shared" si="16"/>
        <v>49712.352962962963</v>
      </c>
      <c r="N233" s="4">
        <f t="shared" si="17"/>
        <v>18</v>
      </c>
    </row>
    <row r="234" spans="12:14" x14ac:dyDescent="0.25">
      <c r="L234" s="1" t="str">
        <f t="shared" si="15"/>
        <v>0.0.0.0</v>
      </c>
      <c r="M234" s="3">
        <f t="shared" si="16"/>
        <v>49712.352962962963</v>
      </c>
      <c r="N234" s="4">
        <f t="shared" si="17"/>
        <v>18</v>
      </c>
    </row>
    <row r="235" spans="12:14" x14ac:dyDescent="0.25">
      <c r="L235" s="1" t="str">
        <f t="shared" si="15"/>
        <v>0.0.0.0</v>
      </c>
      <c r="M235" s="3">
        <f t="shared" si="16"/>
        <v>49712.352962962963</v>
      </c>
      <c r="N235" s="4">
        <f t="shared" si="17"/>
        <v>18</v>
      </c>
    </row>
    <row r="236" spans="12:14" x14ac:dyDescent="0.25">
      <c r="L236" s="1" t="str">
        <f t="shared" si="15"/>
        <v>0.0.0.0</v>
      </c>
      <c r="M236" s="3">
        <f t="shared" si="16"/>
        <v>49712.352962962963</v>
      </c>
      <c r="N236" s="4">
        <f t="shared" si="17"/>
        <v>18</v>
      </c>
    </row>
    <row r="237" spans="12:14" x14ac:dyDescent="0.25">
      <c r="L237" s="1" t="str">
        <f t="shared" si="15"/>
        <v>0.0.0.0</v>
      </c>
      <c r="M237" s="3">
        <f t="shared" si="16"/>
        <v>49712.352962962963</v>
      </c>
      <c r="N237" s="4">
        <f t="shared" si="17"/>
        <v>18</v>
      </c>
    </row>
    <row r="238" spans="12:14" x14ac:dyDescent="0.25">
      <c r="L238" s="1" t="str">
        <f t="shared" si="15"/>
        <v>0.0.0.0</v>
      </c>
      <c r="M238" s="3">
        <f t="shared" si="16"/>
        <v>49712.352962962963</v>
      </c>
      <c r="N238" s="4">
        <f t="shared" si="17"/>
        <v>18</v>
      </c>
    </row>
    <row r="239" spans="12:14" x14ac:dyDescent="0.25">
      <c r="L239" s="1" t="str">
        <f t="shared" si="15"/>
        <v>0.0.0.0</v>
      </c>
      <c r="M239" s="3">
        <f t="shared" si="16"/>
        <v>49712.352962962963</v>
      </c>
      <c r="N239" s="4">
        <f t="shared" si="17"/>
        <v>18</v>
      </c>
    </row>
    <row r="240" spans="12:14" x14ac:dyDescent="0.25">
      <c r="L240" s="1" t="str">
        <f t="shared" si="15"/>
        <v>0.0.0.0</v>
      </c>
      <c r="M240" s="3">
        <f t="shared" si="16"/>
        <v>49712.352962962963</v>
      </c>
      <c r="N240" s="4">
        <f t="shared" si="17"/>
        <v>18</v>
      </c>
    </row>
    <row r="241" spans="12:14" x14ac:dyDescent="0.25">
      <c r="L241" s="1" t="str">
        <f t="shared" si="15"/>
        <v>0.0.0.0</v>
      </c>
      <c r="M241" s="3">
        <f t="shared" si="16"/>
        <v>49712.352962962963</v>
      </c>
      <c r="N241" s="4">
        <f t="shared" si="17"/>
        <v>18</v>
      </c>
    </row>
    <row r="242" spans="12:14" x14ac:dyDescent="0.25">
      <c r="L242" s="1" t="str">
        <f t="shared" si="15"/>
        <v>0.0.0.0</v>
      </c>
      <c r="M242" s="3">
        <f t="shared" si="16"/>
        <v>49712.352962962963</v>
      </c>
      <c r="N242" s="4">
        <f t="shared" si="17"/>
        <v>18</v>
      </c>
    </row>
    <row r="243" spans="12:14" x14ac:dyDescent="0.25">
      <c r="L243" s="1" t="str">
        <f t="shared" si="15"/>
        <v>0.0.0.0</v>
      </c>
      <c r="M243" s="3">
        <f t="shared" si="16"/>
        <v>49712.352962962963</v>
      </c>
      <c r="N243" s="4">
        <f t="shared" si="17"/>
        <v>18</v>
      </c>
    </row>
    <row r="244" spans="12:14" x14ac:dyDescent="0.25">
      <c r="L244" s="1" t="str">
        <f t="shared" si="15"/>
        <v>0.0.0.0</v>
      </c>
      <c r="M244" s="3">
        <f t="shared" si="16"/>
        <v>49712.352962962963</v>
      </c>
      <c r="N244" s="4">
        <f t="shared" si="17"/>
        <v>18</v>
      </c>
    </row>
    <row r="245" spans="12:14" x14ac:dyDescent="0.25">
      <c r="L245" s="1" t="str">
        <f t="shared" si="15"/>
        <v>0.0.0.0</v>
      </c>
      <c r="M245" s="3">
        <f t="shared" si="16"/>
        <v>49712.352962962963</v>
      </c>
      <c r="N245" s="4">
        <f t="shared" si="17"/>
        <v>18</v>
      </c>
    </row>
    <row r="246" spans="12:14" x14ac:dyDescent="0.25">
      <c r="L246" s="1" t="str">
        <f t="shared" si="15"/>
        <v>0.0.0.0</v>
      </c>
      <c r="M246" s="3">
        <f t="shared" si="16"/>
        <v>49712.352962962963</v>
      </c>
      <c r="N246" s="4">
        <f t="shared" si="17"/>
        <v>18</v>
      </c>
    </row>
    <row r="247" spans="12:14" x14ac:dyDescent="0.25">
      <c r="L247" s="1" t="str">
        <f t="shared" si="15"/>
        <v>0.0.0.0</v>
      </c>
      <c r="M247" s="3">
        <f t="shared" si="16"/>
        <v>49712.352962962963</v>
      </c>
      <c r="N247" s="4">
        <f t="shared" si="17"/>
        <v>18</v>
      </c>
    </row>
    <row r="248" spans="12:14" x14ac:dyDescent="0.25">
      <c r="L248" s="1" t="str">
        <f t="shared" si="15"/>
        <v>0.0.0.0</v>
      </c>
      <c r="M248" s="3">
        <f t="shared" si="16"/>
        <v>49712.352962962963</v>
      </c>
      <c r="N248" s="4">
        <f t="shared" si="17"/>
        <v>18</v>
      </c>
    </row>
    <row r="249" spans="12:14" x14ac:dyDescent="0.25">
      <c r="L249" s="1" t="str">
        <f t="shared" si="15"/>
        <v>0.0.0.0</v>
      </c>
      <c r="M249" s="3">
        <f t="shared" si="16"/>
        <v>49712.352962962963</v>
      </c>
      <c r="N249" s="4">
        <f t="shared" si="17"/>
        <v>18</v>
      </c>
    </row>
    <row r="250" spans="12:14" x14ac:dyDescent="0.25">
      <c r="L250" s="1" t="str">
        <f t="shared" si="15"/>
        <v>0.0.0.0</v>
      </c>
      <c r="M250" s="3">
        <f t="shared" si="16"/>
        <v>49712.352962962963</v>
      </c>
      <c r="N250" s="4">
        <f t="shared" si="17"/>
        <v>18</v>
      </c>
    </row>
    <row r="251" spans="12:14" x14ac:dyDescent="0.25">
      <c r="L251" s="1" t="str">
        <f t="shared" si="15"/>
        <v>0.0.0.0</v>
      </c>
      <c r="M251" s="3">
        <f t="shared" si="16"/>
        <v>49712.352962962963</v>
      </c>
      <c r="N251" s="4">
        <f t="shared" si="17"/>
        <v>18</v>
      </c>
    </row>
    <row r="252" spans="12:14" x14ac:dyDescent="0.25">
      <c r="L252" s="1" t="str">
        <f t="shared" si="15"/>
        <v>0.0.0.0</v>
      </c>
      <c r="M252" s="3">
        <f t="shared" si="16"/>
        <v>49712.352962962963</v>
      </c>
      <c r="N252" s="4">
        <f t="shared" si="17"/>
        <v>18</v>
      </c>
    </row>
    <row r="253" spans="12:14" x14ac:dyDescent="0.25">
      <c r="L253" s="1" t="str">
        <f t="shared" ref="L253:L290" si="18">ip_to_string(F253)</f>
        <v>0.0.0.0</v>
      </c>
      <c r="M253" s="3">
        <f t="shared" ref="M253:M290" si="19">(2^32+J253)*TIME(0,0,1)+2+TIME($N$3,0,0)</f>
        <v>49712.352962962963</v>
      </c>
      <c r="N253" s="4">
        <f t="shared" ref="N253:N290" si="20" xml:space="preserve"> 4 + 1 + 2 + 1 + LEN(B253)+1 + 4 + IF(OR(D253=1,D253=4,D253=6),LEN(E253)+1,0) + IF(OR(D253=2,D253=3,D253=5),4,0) + 5</f>
        <v>18</v>
      </c>
    </row>
    <row r="254" spans="12:14" x14ac:dyDescent="0.25">
      <c r="L254" s="1" t="str">
        <f t="shared" si="18"/>
        <v>0.0.0.0</v>
      </c>
      <c r="M254" s="3">
        <f t="shared" si="19"/>
        <v>49712.352962962963</v>
      </c>
      <c r="N254" s="4">
        <f t="shared" si="20"/>
        <v>18</v>
      </c>
    </row>
    <row r="255" spans="12:14" x14ac:dyDescent="0.25">
      <c r="L255" s="1" t="str">
        <f t="shared" si="18"/>
        <v>0.0.0.0</v>
      </c>
      <c r="M255" s="3">
        <f t="shared" si="19"/>
        <v>49712.352962962963</v>
      </c>
      <c r="N255" s="4">
        <f t="shared" si="20"/>
        <v>18</v>
      </c>
    </row>
    <row r="256" spans="12:14" x14ac:dyDescent="0.25">
      <c r="L256" s="1" t="str">
        <f t="shared" si="18"/>
        <v>0.0.0.0</v>
      </c>
      <c r="M256" s="3">
        <f t="shared" si="19"/>
        <v>49712.352962962963</v>
      </c>
      <c r="N256" s="4">
        <f t="shared" si="20"/>
        <v>18</v>
      </c>
    </row>
    <row r="257" spans="12:14" x14ac:dyDescent="0.25">
      <c r="L257" s="1" t="str">
        <f t="shared" si="18"/>
        <v>0.0.0.0</v>
      </c>
      <c r="M257" s="3">
        <f t="shared" si="19"/>
        <v>49712.352962962963</v>
      </c>
      <c r="N257" s="4">
        <f t="shared" si="20"/>
        <v>18</v>
      </c>
    </row>
    <row r="258" spans="12:14" x14ac:dyDescent="0.25">
      <c r="L258" s="1" t="str">
        <f t="shared" si="18"/>
        <v>0.0.0.0</v>
      </c>
      <c r="M258" s="3">
        <f t="shared" si="19"/>
        <v>49712.352962962963</v>
      </c>
      <c r="N258" s="4">
        <f t="shared" si="20"/>
        <v>18</v>
      </c>
    </row>
    <row r="259" spans="12:14" x14ac:dyDescent="0.25">
      <c r="L259" s="1" t="str">
        <f t="shared" si="18"/>
        <v>0.0.0.0</v>
      </c>
      <c r="M259" s="3">
        <f t="shared" si="19"/>
        <v>49712.352962962963</v>
      </c>
      <c r="N259" s="4">
        <f t="shared" si="20"/>
        <v>18</v>
      </c>
    </row>
    <row r="260" spans="12:14" x14ac:dyDescent="0.25">
      <c r="L260" s="1" t="str">
        <f t="shared" si="18"/>
        <v>0.0.0.0</v>
      </c>
      <c r="M260" s="3">
        <f t="shared" si="19"/>
        <v>49712.352962962963</v>
      </c>
      <c r="N260" s="4">
        <f t="shared" si="20"/>
        <v>18</v>
      </c>
    </row>
    <row r="261" spans="12:14" x14ac:dyDescent="0.25">
      <c r="L261" s="1" t="str">
        <f t="shared" si="18"/>
        <v>0.0.0.0</v>
      </c>
      <c r="M261" s="3">
        <f t="shared" si="19"/>
        <v>49712.352962962963</v>
      </c>
      <c r="N261" s="4">
        <f t="shared" si="20"/>
        <v>18</v>
      </c>
    </row>
    <row r="262" spans="12:14" x14ac:dyDescent="0.25">
      <c r="L262" s="1" t="str">
        <f t="shared" si="18"/>
        <v>0.0.0.0</v>
      </c>
      <c r="M262" s="3">
        <f t="shared" si="19"/>
        <v>49712.352962962963</v>
      </c>
      <c r="N262" s="4">
        <f t="shared" si="20"/>
        <v>18</v>
      </c>
    </row>
    <row r="263" spans="12:14" x14ac:dyDescent="0.25">
      <c r="L263" s="1" t="str">
        <f t="shared" si="18"/>
        <v>0.0.0.0</v>
      </c>
      <c r="M263" s="3">
        <f t="shared" si="19"/>
        <v>49712.352962962963</v>
      </c>
      <c r="N263" s="4">
        <f t="shared" si="20"/>
        <v>18</v>
      </c>
    </row>
    <row r="264" spans="12:14" x14ac:dyDescent="0.25">
      <c r="L264" s="1" t="str">
        <f t="shared" si="18"/>
        <v>0.0.0.0</v>
      </c>
      <c r="M264" s="3">
        <f t="shared" si="19"/>
        <v>49712.352962962963</v>
      </c>
      <c r="N264" s="4">
        <f t="shared" si="20"/>
        <v>18</v>
      </c>
    </row>
    <row r="265" spans="12:14" x14ac:dyDescent="0.25">
      <c r="L265" s="1" t="str">
        <f t="shared" si="18"/>
        <v>0.0.0.0</v>
      </c>
      <c r="M265" s="3">
        <f t="shared" si="19"/>
        <v>49712.352962962963</v>
      </c>
      <c r="N265" s="4">
        <f t="shared" si="20"/>
        <v>18</v>
      </c>
    </row>
    <row r="266" spans="12:14" x14ac:dyDescent="0.25">
      <c r="L266" s="1" t="str">
        <f t="shared" si="18"/>
        <v>0.0.0.0</v>
      </c>
      <c r="M266" s="3">
        <f t="shared" si="19"/>
        <v>49712.352962962963</v>
      </c>
      <c r="N266" s="4">
        <f t="shared" si="20"/>
        <v>18</v>
      </c>
    </row>
    <row r="267" spans="12:14" x14ac:dyDescent="0.25">
      <c r="L267" s="1" t="str">
        <f t="shared" si="18"/>
        <v>0.0.0.0</v>
      </c>
      <c r="M267" s="3">
        <f t="shared" si="19"/>
        <v>49712.352962962963</v>
      </c>
      <c r="N267" s="4">
        <f t="shared" si="20"/>
        <v>18</v>
      </c>
    </row>
    <row r="268" spans="12:14" x14ac:dyDescent="0.25">
      <c r="L268" s="1" t="str">
        <f t="shared" si="18"/>
        <v>0.0.0.0</v>
      </c>
      <c r="M268" s="3">
        <f t="shared" si="19"/>
        <v>49712.352962962963</v>
      </c>
      <c r="N268" s="4">
        <f t="shared" si="20"/>
        <v>18</v>
      </c>
    </row>
    <row r="269" spans="12:14" x14ac:dyDescent="0.25">
      <c r="L269" s="1" t="str">
        <f t="shared" si="18"/>
        <v>0.0.0.0</v>
      </c>
      <c r="M269" s="3">
        <f t="shared" si="19"/>
        <v>49712.352962962963</v>
      </c>
      <c r="N269" s="4">
        <f t="shared" si="20"/>
        <v>18</v>
      </c>
    </row>
    <row r="270" spans="12:14" x14ac:dyDescent="0.25">
      <c r="L270" s="1" t="str">
        <f t="shared" si="18"/>
        <v>0.0.0.0</v>
      </c>
      <c r="M270" s="3">
        <f t="shared" si="19"/>
        <v>49712.352962962963</v>
      </c>
      <c r="N270" s="4">
        <f t="shared" si="20"/>
        <v>18</v>
      </c>
    </row>
    <row r="271" spans="12:14" x14ac:dyDescent="0.25">
      <c r="L271" s="1" t="str">
        <f t="shared" si="18"/>
        <v>0.0.0.0</v>
      </c>
      <c r="M271" s="3">
        <f t="shared" si="19"/>
        <v>49712.352962962963</v>
      </c>
      <c r="N271" s="4">
        <f t="shared" si="20"/>
        <v>18</v>
      </c>
    </row>
    <row r="272" spans="12:14" x14ac:dyDescent="0.25">
      <c r="L272" s="1" t="str">
        <f t="shared" si="18"/>
        <v>0.0.0.0</v>
      </c>
      <c r="M272" s="3">
        <f t="shared" si="19"/>
        <v>49712.352962962963</v>
      </c>
      <c r="N272" s="4">
        <f t="shared" si="20"/>
        <v>18</v>
      </c>
    </row>
    <row r="273" spans="12:14" x14ac:dyDescent="0.25">
      <c r="L273" s="1" t="str">
        <f t="shared" si="18"/>
        <v>0.0.0.0</v>
      </c>
      <c r="M273" s="3">
        <f t="shared" si="19"/>
        <v>49712.352962962963</v>
      </c>
      <c r="N273" s="4">
        <f t="shared" si="20"/>
        <v>18</v>
      </c>
    </row>
    <row r="274" spans="12:14" x14ac:dyDescent="0.25">
      <c r="L274" s="1" t="str">
        <f t="shared" si="18"/>
        <v>0.0.0.0</v>
      </c>
      <c r="M274" s="3">
        <f t="shared" si="19"/>
        <v>49712.352962962963</v>
      </c>
      <c r="N274" s="4">
        <f t="shared" si="20"/>
        <v>18</v>
      </c>
    </row>
    <row r="275" spans="12:14" x14ac:dyDescent="0.25">
      <c r="L275" s="1" t="str">
        <f t="shared" si="18"/>
        <v>0.0.0.0</v>
      </c>
      <c r="M275" s="3">
        <f t="shared" si="19"/>
        <v>49712.352962962963</v>
      </c>
      <c r="N275" s="4">
        <f t="shared" si="20"/>
        <v>18</v>
      </c>
    </row>
    <row r="276" spans="12:14" x14ac:dyDescent="0.25">
      <c r="L276" s="1" t="str">
        <f t="shared" si="18"/>
        <v>0.0.0.0</v>
      </c>
      <c r="M276" s="3">
        <f t="shared" si="19"/>
        <v>49712.352962962963</v>
      </c>
      <c r="N276" s="4">
        <f t="shared" si="20"/>
        <v>18</v>
      </c>
    </row>
    <row r="277" spans="12:14" x14ac:dyDescent="0.25">
      <c r="L277" s="1" t="str">
        <f t="shared" si="18"/>
        <v>0.0.0.0</v>
      </c>
      <c r="M277" s="3">
        <f t="shared" si="19"/>
        <v>49712.352962962963</v>
      </c>
      <c r="N277" s="4">
        <f t="shared" si="20"/>
        <v>18</v>
      </c>
    </row>
    <row r="278" spans="12:14" x14ac:dyDescent="0.25">
      <c r="L278" s="1" t="str">
        <f t="shared" si="18"/>
        <v>0.0.0.0</v>
      </c>
      <c r="M278" s="3">
        <f t="shared" si="19"/>
        <v>49712.352962962963</v>
      </c>
      <c r="N278" s="4">
        <f t="shared" si="20"/>
        <v>18</v>
      </c>
    </row>
    <row r="279" spans="12:14" x14ac:dyDescent="0.25">
      <c r="L279" s="1" t="str">
        <f t="shared" si="18"/>
        <v>0.0.0.0</v>
      </c>
      <c r="M279" s="3">
        <f t="shared" si="19"/>
        <v>49712.352962962963</v>
      </c>
      <c r="N279" s="4">
        <f t="shared" si="20"/>
        <v>18</v>
      </c>
    </row>
    <row r="280" spans="12:14" x14ac:dyDescent="0.25">
      <c r="L280" s="1" t="str">
        <f t="shared" si="18"/>
        <v>0.0.0.0</v>
      </c>
      <c r="M280" s="3">
        <f t="shared" si="19"/>
        <v>49712.352962962963</v>
      </c>
      <c r="N280" s="4">
        <f t="shared" si="20"/>
        <v>18</v>
      </c>
    </row>
    <row r="281" spans="12:14" x14ac:dyDescent="0.25">
      <c r="L281" s="1" t="str">
        <f t="shared" si="18"/>
        <v>0.0.0.0</v>
      </c>
      <c r="M281" s="3">
        <f t="shared" si="19"/>
        <v>49712.352962962963</v>
      </c>
      <c r="N281" s="4">
        <f t="shared" si="20"/>
        <v>18</v>
      </c>
    </row>
    <row r="282" spans="12:14" x14ac:dyDescent="0.25">
      <c r="L282" s="1" t="str">
        <f t="shared" si="18"/>
        <v>0.0.0.0</v>
      </c>
      <c r="M282" s="3">
        <f t="shared" si="19"/>
        <v>49712.352962962963</v>
      </c>
      <c r="N282" s="4">
        <f t="shared" si="20"/>
        <v>18</v>
      </c>
    </row>
    <row r="283" spans="12:14" x14ac:dyDescent="0.25">
      <c r="L283" s="1" t="str">
        <f t="shared" si="18"/>
        <v>0.0.0.0</v>
      </c>
      <c r="M283" s="3">
        <f t="shared" si="19"/>
        <v>49712.352962962963</v>
      </c>
      <c r="N283" s="4">
        <f t="shared" si="20"/>
        <v>18</v>
      </c>
    </row>
    <row r="284" spans="12:14" x14ac:dyDescent="0.25">
      <c r="L284" s="1" t="str">
        <f t="shared" si="18"/>
        <v>0.0.0.0</v>
      </c>
      <c r="M284" s="3">
        <f t="shared" si="19"/>
        <v>49712.352962962963</v>
      </c>
      <c r="N284" s="4">
        <f t="shared" si="20"/>
        <v>18</v>
      </c>
    </row>
    <row r="285" spans="12:14" x14ac:dyDescent="0.25">
      <c r="L285" s="1" t="str">
        <f t="shared" si="18"/>
        <v>0.0.0.0</v>
      </c>
      <c r="M285" s="3">
        <f t="shared" si="19"/>
        <v>49712.352962962963</v>
      </c>
      <c r="N285" s="4">
        <f t="shared" si="20"/>
        <v>18</v>
      </c>
    </row>
    <row r="286" spans="12:14" x14ac:dyDescent="0.25">
      <c r="L286" s="1" t="str">
        <f t="shared" si="18"/>
        <v>0.0.0.0</v>
      </c>
      <c r="M286" s="3">
        <f t="shared" si="19"/>
        <v>49712.352962962963</v>
      </c>
      <c r="N286" s="4">
        <f t="shared" si="20"/>
        <v>18</v>
      </c>
    </row>
    <row r="287" spans="12:14" x14ac:dyDescent="0.25">
      <c r="L287" s="1" t="str">
        <f t="shared" si="18"/>
        <v>0.0.0.0</v>
      </c>
      <c r="M287" s="3">
        <f t="shared" si="19"/>
        <v>49712.352962962963</v>
      </c>
      <c r="N287" s="4">
        <f t="shared" si="20"/>
        <v>18</v>
      </c>
    </row>
    <row r="288" spans="12:14" x14ac:dyDescent="0.25">
      <c r="L288" s="1" t="str">
        <f t="shared" si="18"/>
        <v>0.0.0.0</v>
      </c>
      <c r="M288" s="3">
        <f t="shared" si="19"/>
        <v>49712.352962962963</v>
      </c>
      <c r="N288" s="4">
        <f t="shared" si="20"/>
        <v>18</v>
      </c>
    </row>
    <row r="289" spans="12:14" x14ac:dyDescent="0.25">
      <c r="L289" s="1" t="str">
        <f t="shared" si="18"/>
        <v>0.0.0.0</v>
      </c>
      <c r="M289" s="3">
        <f t="shared" si="19"/>
        <v>49712.352962962963</v>
      </c>
      <c r="N289" s="4">
        <f t="shared" si="20"/>
        <v>18</v>
      </c>
    </row>
    <row r="290" spans="12:14" x14ac:dyDescent="0.25">
      <c r="L290" s="1" t="str">
        <f t="shared" si="18"/>
        <v>0.0.0.0</v>
      </c>
      <c r="M290" s="3">
        <f t="shared" si="19"/>
        <v>49712.352962962963</v>
      </c>
      <c r="N290" s="4">
        <f t="shared" si="20"/>
        <v>18</v>
      </c>
    </row>
    <row r="291" spans="12:14" x14ac:dyDescent="0.25">
      <c r="N291" s="1"/>
    </row>
    <row r="292" spans="12:14" x14ac:dyDescent="0.25">
      <c r="N292" s="1"/>
    </row>
    <row r="293" spans="12:14" x14ac:dyDescent="0.25">
      <c r="N293" s="1"/>
    </row>
    <row r="294" spans="12:14" x14ac:dyDescent="0.25">
      <c r="N294" s="1"/>
    </row>
    <row r="295" spans="12:14" x14ac:dyDescent="0.25">
      <c r="N295" s="1"/>
    </row>
    <row r="296" spans="12:14" x14ac:dyDescent="0.25">
      <c r="N296" s="1"/>
    </row>
    <row r="297" spans="12:14" x14ac:dyDescent="0.25">
      <c r="N297" s="1"/>
    </row>
    <row r="298" spans="12:14" x14ac:dyDescent="0.25">
      <c r="N298" s="1"/>
    </row>
    <row r="299" spans="12:14" x14ac:dyDescent="0.25">
      <c r="N299" s="1"/>
    </row>
    <row r="300" spans="12:14" x14ac:dyDescent="0.25">
      <c r="N300" s="1"/>
    </row>
    <row r="301" spans="12:14" x14ac:dyDescent="0.25">
      <c r="N301" s="1"/>
    </row>
    <row r="302" spans="12:14" x14ac:dyDescent="0.25">
      <c r="N302" s="1"/>
    </row>
    <row r="303" spans="12:14" x14ac:dyDescent="0.25">
      <c r="N303" s="1"/>
    </row>
    <row r="304" spans="12:14" x14ac:dyDescent="0.25">
      <c r="N304" s="1"/>
    </row>
    <row r="305" spans="14:14" x14ac:dyDescent="0.25">
      <c r="N305" s="1"/>
    </row>
    <row r="306" spans="14:14" x14ac:dyDescent="0.25">
      <c r="N306" s="1"/>
    </row>
    <row r="307" spans="14:14" x14ac:dyDescent="0.25">
      <c r="N307" s="1"/>
    </row>
    <row r="308" spans="14:14" x14ac:dyDescent="0.25">
      <c r="N308" s="1"/>
    </row>
    <row r="309" spans="14:14" x14ac:dyDescent="0.25">
      <c r="N309" s="1"/>
    </row>
    <row r="310" spans="14:14" x14ac:dyDescent="0.25">
      <c r="N310" s="1"/>
    </row>
    <row r="311" spans="14:14" x14ac:dyDescent="0.25">
      <c r="N311" s="1"/>
    </row>
    <row r="312" spans="14:14" x14ac:dyDescent="0.25">
      <c r="N312" s="1"/>
    </row>
    <row r="313" spans="14:14" x14ac:dyDescent="0.25">
      <c r="N313" s="1"/>
    </row>
    <row r="314" spans="14:14" x14ac:dyDescent="0.25">
      <c r="N314" s="1"/>
    </row>
    <row r="315" spans="14:14" x14ac:dyDescent="0.25">
      <c r="N315" s="1"/>
    </row>
    <row r="316" spans="14:14" x14ac:dyDescent="0.25">
      <c r="N316" s="1"/>
    </row>
    <row r="317" spans="14:14" x14ac:dyDescent="0.25">
      <c r="N317" s="1"/>
    </row>
    <row r="318" spans="14:14" x14ac:dyDescent="0.25">
      <c r="N318" s="1"/>
    </row>
    <row r="319" spans="14:14" x14ac:dyDescent="0.25">
      <c r="N319" s="1"/>
    </row>
    <row r="320" spans="14:14" x14ac:dyDescent="0.25">
      <c r="N320" s="1"/>
    </row>
    <row r="321" spans="14:14" x14ac:dyDescent="0.25">
      <c r="N321" s="1"/>
    </row>
    <row r="322" spans="14:14" x14ac:dyDescent="0.25">
      <c r="N322" s="1"/>
    </row>
    <row r="323" spans="14:14" x14ac:dyDescent="0.25">
      <c r="N323" s="1"/>
    </row>
    <row r="324" spans="14:14" x14ac:dyDescent="0.25">
      <c r="N324" s="1"/>
    </row>
    <row r="325" spans="14:14" x14ac:dyDescent="0.25">
      <c r="N325" s="1"/>
    </row>
    <row r="326" spans="14:14" x14ac:dyDescent="0.25">
      <c r="N326" s="1"/>
    </row>
    <row r="327" spans="14:14" x14ac:dyDescent="0.25">
      <c r="N327" s="1"/>
    </row>
    <row r="328" spans="14:14" x14ac:dyDescent="0.25">
      <c r="N328" s="1"/>
    </row>
    <row r="329" spans="14:14" x14ac:dyDescent="0.25">
      <c r="N329" s="1"/>
    </row>
    <row r="330" spans="14:14" x14ac:dyDescent="0.25">
      <c r="N330" s="1"/>
    </row>
    <row r="331" spans="14:14" x14ac:dyDescent="0.25">
      <c r="N331" s="1"/>
    </row>
    <row r="332" spans="14:14" x14ac:dyDescent="0.25">
      <c r="N332" s="1"/>
    </row>
    <row r="333" spans="14:14" x14ac:dyDescent="0.25">
      <c r="N333" s="1"/>
    </row>
    <row r="334" spans="14:14" x14ac:dyDescent="0.25">
      <c r="N334" s="1"/>
    </row>
    <row r="335" spans="14:14" x14ac:dyDescent="0.25">
      <c r="N335" s="1"/>
    </row>
    <row r="336" spans="14:14" x14ac:dyDescent="0.25">
      <c r="N336" s="1"/>
    </row>
    <row r="337" spans="14:14" x14ac:dyDescent="0.25">
      <c r="N337" s="1"/>
    </row>
    <row r="338" spans="14:14" x14ac:dyDescent="0.25">
      <c r="N338" s="1"/>
    </row>
    <row r="339" spans="14:14" x14ac:dyDescent="0.25">
      <c r="N339" s="1"/>
    </row>
    <row r="340" spans="14:14" x14ac:dyDescent="0.25">
      <c r="N340" s="1"/>
    </row>
    <row r="341" spans="14:14" x14ac:dyDescent="0.25">
      <c r="N341" s="1"/>
    </row>
    <row r="342" spans="14:14" x14ac:dyDescent="0.25">
      <c r="N342" s="1"/>
    </row>
    <row r="343" spans="14:14" x14ac:dyDescent="0.25">
      <c r="N343" s="1"/>
    </row>
    <row r="344" spans="14:14" x14ac:dyDescent="0.25">
      <c r="N344" s="1"/>
    </row>
    <row r="345" spans="14:14" x14ac:dyDescent="0.25">
      <c r="N345" s="1"/>
    </row>
    <row r="346" spans="14:14" x14ac:dyDescent="0.25">
      <c r="N346" s="1"/>
    </row>
    <row r="347" spans="14:14" x14ac:dyDescent="0.25">
      <c r="N347" s="1"/>
    </row>
    <row r="348" spans="14:14" x14ac:dyDescent="0.25">
      <c r="N348" s="1"/>
    </row>
    <row r="349" spans="14:14" x14ac:dyDescent="0.25">
      <c r="N349" s="1"/>
    </row>
    <row r="350" spans="14:14" x14ac:dyDescent="0.25">
      <c r="N350" s="1"/>
    </row>
    <row r="351" spans="14:14" x14ac:dyDescent="0.25">
      <c r="N351" s="1"/>
    </row>
    <row r="352" spans="14:14" x14ac:dyDescent="0.25">
      <c r="N352" s="1"/>
    </row>
    <row r="353" spans="14:14" x14ac:dyDescent="0.25">
      <c r="N353" s="1"/>
    </row>
    <row r="354" spans="14:14" x14ac:dyDescent="0.25">
      <c r="N354" s="1"/>
    </row>
    <row r="355" spans="14:14" x14ac:dyDescent="0.25">
      <c r="N355" s="1"/>
    </row>
    <row r="356" spans="14:14" x14ac:dyDescent="0.25">
      <c r="N356" s="1"/>
    </row>
    <row r="357" spans="14:14" x14ac:dyDescent="0.25">
      <c r="N357" s="1"/>
    </row>
    <row r="358" spans="14:14" x14ac:dyDescent="0.25">
      <c r="N358" s="1"/>
    </row>
    <row r="359" spans="14:14" x14ac:dyDescent="0.25">
      <c r="N359" s="1"/>
    </row>
    <row r="360" spans="14:14" x14ac:dyDescent="0.25">
      <c r="N360" s="1"/>
    </row>
    <row r="361" spans="14:14" x14ac:dyDescent="0.25">
      <c r="N361" s="1"/>
    </row>
    <row r="362" spans="14:14" x14ac:dyDescent="0.25">
      <c r="N362" s="1"/>
    </row>
    <row r="363" spans="14:14" x14ac:dyDescent="0.25">
      <c r="N363" s="1"/>
    </row>
    <row r="364" spans="14:14" x14ac:dyDescent="0.25">
      <c r="N364" s="1"/>
    </row>
    <row r="365" spans="14:14" x14ac:dyDescent="0.25">
      <c r="N365" s="1"/>
    </row>
    <row r="366" spans="14:14" x14ac:dyDescent="0.25">
      <c r="N366" s="1"/>
    </row>
    <row r="367" spans="14:14" x14ac:dyDescent="0.25">
      <c r="N367" s="1"/>
    </row>
    <row r="368" spans="14:14" x14ac:dyDescent="0.25">
      <c r="N368" s="1"/>
    </row>
    <row r="369" spans="14:14" x14ac:dyDescent="0.25">
      <c r="N369" s="1"/>
    </row>
    <row r="370" spans="14:14" x14ac:dyDescent="0.25">
      <c r="N370" s="1"/>
    </row>
    <row r="371" spans="14:14" x14ac:dyDescent="0.25">
      <c r="N371" s="1"/>
    </row>
    <row r="372" spans="14:14" x14ac:dyDescent="0.25">
      <c r="N372" s="1"/>
    </row>
    <row r="373" spans="14:14" x14ac:dyDescent="0.25">
      <c r="N373" s="1"/>
    </row>
    <row r="374" spans="14:14" x14ac:dyDescent="0.25">
      <c r="N374" s="1"/>
    </row>
    <row r="375" spans="14:14" x14ac:dyDescent="0.25">
      <c r="N375" s="1"/>
    </row>
    <row r="376" spans="14:14" x14ac:dyDescent="0.25">
      <c r="N376" s="1"/>
    </row>
    <row r="377" spans="14:14" x14ac:dyDescent="0.25">
      <c r="N377" s="1"/>
    </row>
    <row r="378" spans="14:14" x14ac:dyDescent="0.25">
      <c r="N378" s="1"/>
    </row>
    <row r="379" spans="14:14" x14ac:dyDescent="0.25">
      <c r="N379" s="1"/>
    </row>
    <row r="380" spans="14:14" x14ac:dyDescent="0.25">
      <c r="N380" s="1"/>
    </row>
    <row r="381" spans="14:14" x14ac:dyDescent="0.25">
      <c r="N381" s="1"/>
    </row>
    <row r="382" spans="14:14" x14ac:dyDescent="0.25">
      <c r="N382" s="1"/>
    </row>
    <row r="383" spans="14:14" x14ac:dyDescent="0.25">
      <c r="N383" s="1"/>
    </row>
    <row r="384" spans="14:14" x14ac:dyDescent="0.25">
      <c r="N384" s="1"/>
    </row>
    <row r="385" spans="14:14" x14ac:dyDescent="0.25">
      <c r="N385" s="1"/>
    </row>
    <row r="386" spans="14:14" x14ac:dyDescent="0.25">
      <c r="N386" s="1"/>
    </row>
    <row r="387" spans="14:14" x14ac:dyDescent="0.25">
      <c r="N387" s="1"/>
    </row>
    <row r="388" spans="14:14" x14ac:dyDescent="0.25">
      <c r="N388" s="1"/>
    </row>
    <row r="389" spans="14:14" x14ac:dyDescent="0.25">
      <c r="N389" s="1"/>
    </row>
    <row r="390" spans="14:14" x14ac:dyDescent="0.25">
      <c r="N390" s="1"/>
    </row>
    <row r="391" spans="14:14" x14ac:dyDescent="0.25">
      <c r="N391" s="1"/>
    </row>
    <row r="392" spans="14:14" x14ac:dyDescent="0.25">
      <c r="N392" s="1"/>
    </row>
    <row r="393" spans="14:14" x14ac:dyDescent="0.25">
      <c r="N393" s="1"/>
    </row>
    <row r="394" spans="14:14" x14ac:dyDescent="0.25">
      <c r="N394" s="1"/>
    </row>
    <row r="395" spans="14:14" x14ac:dyDescent="0.25">
      <c r="N395" s="1"/>
    </row>
    <row r="396" spans="14:14" x14ac:dyDescent="0.25">
      <c r="N396" s="1"/>
    </row>
    <row r="397" spans="14:14" x14ac:dyDescent="0.25">
      <c r="N397" s="1"/>
    </row>
    <row r="398" spans="14:14" x14ac:dyDescent="0.25">
      <c r="N398" s="1"/>
    </row>
    <row r="399" spans="14:14" x14ac:dyDescent="0.25">
      <c r="N399" s="1"/>
    </row>
    <row r="400" spans="14:14" x14ac:dyDescent="0.25">
      <c r="N400" s="1"/>
    </row>
    <row r="401" spans="14:14" x14ac:dyDescent="0.25">
      <c r="N401" s="1"/>
    </row>
    <row r="402" spans="14:14" x14ac:dyDescent="0.25">
      <c r="N402" s="1"/>
    </row>
    <row r="403" spans="14:14" x14ac:dyDescent="0.25">
      <c r="N403" s="1"/>
    </row>
    <row r="404" spans="14:14" x14ac:dyDescent="0.25">
      <c r="N404" s="1"/>
    </row>
    <row r="405" spans="14:14" x14ac:dyDescent="0.25">
      <c r="N405" s="1"/>
    </row>
    <row r="406" spans="14:14" x14ac:dyDescent="0.25">
      <c r="N406" s="1"/>
    </row>
    <row r="407" spans="14:14" x14ac:dyDescent="0.25">
      <c r="N407" s="1"/>
    </row>
    <row r="408" spans="14:14" x14ac:dyDescent="0.25">
      <c r="N408" s="1"/>
    </row>
    <row r="409" spans="14:14" x14ac:dyDescent="0.25">
      <c r="N409" s="1"/>
    </row>
    <row r="410" spans="14:14" x14ac:dyDescent="0.25">
      <c r="N410" s="1"/>
    </row>
    <row r="411" spans="14:14" x14ac:dyDescent="0.25">
      <c r="N411" s="1"/>
    </row>
    <row r="412" spans="14:14" x14ac:dyDescent="0.25">
      <c r="N412" s="1"/>
    </row>
    <row r="413" spans="14:14" x14ac:dyDescent="0.25">
      <c r="N413" s="1"/>
    </row>
    <row r="414" spans="14:14" x14ac:dyDescent="0.25">
      <c r="N414" s="1"/>
    </row>
    <row r="415" spans="14:14" x14ac:dyDescent="0.25">
      <c r="N415" s="1"/>
    </row>
    <row r="416" spans="14:14" x14ac:dyDescent="0.25">
      <c r="N416" s="1"/>
    </row>
    <row r="417" spans="14:14" x14ac:dyDescent="0.25">
      <c r="N417" s="1"/>
    </row>
    <row r="418" spans="14:14" x14ac:dyDescent="0.25">
      <c r="N418" s="1"/>
    </row>
    <row r="419" spans="14:14" x14ac:dyDescent="0.25">
      <c r="N419" s="1"/>
    </row>
    <row r="420" spans="14:14" x14ac:dyDescent="0.25">
      <c r="N420" s="1"/>
    </row>
    <row r="421" spans="14:14" x14ac:dyDescent="0.25">
      <c r="N421" s="1"/>
    </row>
    <row r="422" spans="14:14" x14ac:dyDescent="0.25">
      <c r="N422" s="1"/>
    </row>
    <row r="423" spans="14:14" x14ac:dyDescent="0.25">
      <c r="N423" s="1"/>
    </row>
    <row r="424" spans="14:14" x14ac:dyDescent="0.25">
      <c r="N424" s="1"/>
    </row>
    <row r="425" spans="14:14" x14ac:dyDescent="0.25">
      <c r="N425" s="1"/>
    </row>
    <row r="426" spans="14:14" x14ac:dyDescent="0.25">
      <c r="N426" s="1"/>
    </row>
    <row r="427" spans="14:14" x14ac:dyDescent="0.25">
      <c r="N427" s="1"/>
    </row>
    <row r="428" spans="14:14" x14ac:dyDescent="0.25">
      <c r="N428" s="1"/>
    </row>
    <row r="429" spans="14:14" x14ac:dyDescent="0.25">
      <c r="N429" s="1"/>
    </row>
    <row r="430" spans="14:14" x14ac:dyDescent="0.25">
      <c r="N430" s="1"/>
    </row>
    <row r="431" spans="14:14" x14ac:dyDescent="0.25">
      <c r="N431" s="1"/>
    </row>
    <row r="432" spans="14:14" x14ac:dyDescent="0.25">
      <c r="N432" s="1"/>
    </row>
    <row r="433" spans="14:14" x14ac:dyDescent="0.25">
      <c r="N433" s="1"/>
    </row>
    <row r="434" spans="14:14" x14ac:dyDescent="0.25">
      <c r="N434" s="1"/>
    </row>
    <row r="435" spans="14:14" x14ac:dyDescent="0.25">
      <c r="N435" s="1"/>
    </row>
    <row r="436" spans="14:14" x14ac:dyDescent="0.25">
      <c r="N436" s="1"/>
    </row>
    <row r="437" spans="14:14" x14ac:dyDescent="0.25">
      <c r="N437" s="1"/>
    </row>
    <row r="438" spans="14:14" x14ac:dyDescent="0.25">
      <c r="N438" s="1"/>
    </row>
    <row r="439" spans="14:14" x14ac:dyDescent="0.25">
      <c r="N439" s="1"/>
    </row>
    <row r="440" spans="14:14" x14ac:dyDescent="0.25">
      <c r="N440" s="1"/>
    </row>
    <row r="441" spans="14:14" x14ac:dyDescent="0.25">
      <c r="N441" s="1"/>
    </row>
    <row r="442" spans="14:14" x14ac:dyDescent="0.25">
      <c r="N442" s="1"/>
    </row>
    <row r="443" spans="14:14" x14ac:dyDescent="0.25">
      <c r="N443" s="1"/>
    </row>
    <row r="444" spans="14:14" x14ac:dyDescent="0.25">
      <c r="N444" s="1"/>
    </row>
    <row r="445" spans="14:14" x14ac:dyDescent="0.25">
      <c r="N445" s="1"/>
    </row>
    <row r="446" spans="14:14" x14ac:dyDescent="0.25">
      <c r="N446" s="1"/>
    </row>
    <row r="447" spans="14:14" x14ac:dyDescent="0.25">
      <c r="N447" s="1"/>
    </row>
    <row r="448" spans="14:14" x14ac:dyDescent="0.25">
      <c r="N448" s="1"/>
    </row>
    <row r="449" spans="14:14" x14ac:dyDescent="0.25">
      <c r="N449" s="1"/>
    </row>
    <row r="450" spans="14:14" x14ac:dyDescent="0.25">
      <c r="N450" s="1"/>
    </row>
    <row r="451" spans="14:14" x14ac:dyDescent="0.25">
      <c r="N451" s="1"/>
    </row>
    <row r="452" spans="14:14" x14ac:dyDescent="0.25">
      <c r="N452" s="1"/>
    </row>
    <row r="453" spans="14:14" x14ac:dyDescent="0.25">
      <c r="N453" s="1"/>
    </row>
    <row r="454" spans="14:14" x14ac:dyDescent="0.25">
      <c r="N454" s="1"/>
    </row>
    <row r="455" spans="14:14" x14ac:dyDescent="0.25">
      <c r="N455" s="1"/>
    </row>
    <row r="456" spans="14:14" x14ac:dyDescent="0.25">
      <c r="N456" s="1"/>
    </row>
    <row r="457" spans="14:14" x14ac:dyDescent="0.25">
      <c r="N457" s="1"/>
    </row>
    <row r="458" spans="14:14" x14ac:dyDescent="0.25">
      <c r="N458" s="1"/>
    </row>
  </sheetData>
  <autoFilter ref="A13:P570"/>
  <phoneticPr fontId="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TlnServAbfragen">
                <anchor moveWithCells="1" sizeWithCells="1">
                  <from>
                    <xdr:col>7</xdr:col>
                    <xdr:colOff>104775</xdr:colOff>
                    <xdr:row>3</xdr:row>
                    <xdr:rowOff>47625</xdr:rowOff>
                  </from>
                  <to>
                    <xdr:col>9</xdr:col>
                    <xdr:colOff>628650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TlnServZusenden">
                <anchor moveWithCells="1" sizeWithCells="1">
                  <from>
                    <xdr:col>7</xdr:col>
                    <xdr:colOff>104775</xdr:colOff>
                    <xdr:row>5</xdr:row>
                    <xdr:rowOff>47625</xdr:rowOff>
                  </from>
                  <to>
                    <xdr:col>9</xdr:col>
                    <xdr:colOff>628650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le1.TlnServSucheabfrage">
                <anchor moveWithCells="1" sizeWithCells="1">
                  <from>
                    <xdr:col>4</xdr:col>
                    <xdr:colOff>85725</xdr:colOff>
                    <xdr:row>3</xdr:row>
                    <xdr:rowOff>66675</xdr:rowOff>
                  </from>
                  <to>
                    <xdr:col>4</xdr:col>
                    <xdr:colOff>1771650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abelle1.TlnServEinzelabfrage">
                <anchor moveWithCells="1" sizeWithCells="1">
                  <from>
                    <xdr:col>4</xdr:col>
                    <xdr:colOff>85725</xdr:colOff>
                    <xdr:row>9</xdr:row>
                    <xdr:rowOff>66675</xdr:rowOff>
                  </from>
                  <to>
                    <xdr:col>4</xdr:col>
                    <xdr:colOff>1771650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elle1.TlnServDynIPTest">
                <anchor moveWithCells="1" sizeWithCells="1">
                  <from>
                    <xdr:col>11</xdr:col>
                    <xdr:colOff>85725</xdr:colOff>
                    <xdr:row>7</xdr:row>
                    <xdr:rowOff>66675</xdr:rowOff>
                  </from>
                  <to>
                    <xdr:col>11</xdr:col>
                    <xdr:colOff>895350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Tabelle1.TlnServZusendenEinzeln">
                <anchor moveWithCells="1" sizeWithCells="1">
                  <from>
                    <xdr:col>7</xdr:col>
                    <xdr:colOff>104775</xdr:colOff>
                    <xdr:row>7</xdr:row>
                    <xdr:rowOff>47625</xdr:rowOff>
                  </from>
                  <to>
                    <xdr:col>9</xdr:col>
                    <xdr:colOff>628650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P456"/>
  <sheetViews>
    <sheetView tabSelected="1" zoomScaleNormal="100" workbookViewId="0">
      <pane xSplit="4" ySplit="11" topLeftCell="E12" activePane="bottomRight" state="frozen"/>
      <selection pane="topRight" activeCell="C1" sqref="C1"/>
      <selection pane="bottomLeft" activeCell="A10" sqref="A10"/>
      <selection pane="bottomRight" activeCell="D19" sqref="D19"/>
    </sheetView>
  </sheetViews>
  <sheetFormatPr baseColWidth="10" defaultRowHeight="15" x14ac:dyDescent="0.25"/>
  <cols>
    <col min="1" max="1" width="28" customWidth="1"/>
    <col min="2" max="2" width="19" customWidth="1"/>
    <col min="3" max="3" width="14.28515625" customWidth="1"/>
    <col min="4" max="4" width="34.28515625" customWidth="1"/>
    <col min="5" max="5" width="5.5703125" customWidth="1"/>
    <col min="6" max="6" width="4.140625" customWidth="1"/>
    <col min="7" max="7" width="27.5703125" customWidth="1"/>
    <col min="8" max="8" width="12.28515625" customWidth="1"/>
    <col min="9" max="9" width="6.7109375" customWidth="1"/>
    <col min="10" max="10" width="7.140625" customWidth="1"/>
    <col min="11" max="11" width="7.85546875" customWidth="1"/>
    <col min="12" max="12" width="12.85546875" customWidth="1"/>
    <col min="13" max="13" width="7.85546875" customWidth="1"/>
    <col min="14" max="14" width="16.42578125" customWidth="1"/>
    <col min="15" max="15" width="19.42578125" customWidth="1"/>
    <col min="16" max="16" width="13.28515625" customWidth="1"/>
  </cols>
  <sheetData>
    <row r="1" spans="1:16" x14ac:dyDescent="0.25">
      <c r="N1" s="1"/>
      <c r="O1" s="3"/>
      <c r="P1" s="4"/>
    </row>
    <row r="2" spans="1:16" x14ac:dyDescent="0.25">
      <c r="G2" t="s">
        <v>27</v>
      </c>
      <c r="N2" s="1"/>
      <c r="O2" s="3"/>
      <c r="P2" s="4"/>
    </row>
    <row r="3" spans="1:16" ht="15.75" thickBot="1" x14ac:dyDescent="0.3">
      <c r="G3" t="s">
        <v>84</v>
      </c>
      <c r="N3" s="1"/>
      <c r="O3" s="3"/>
      <c r="P3" s="4"/>
    </row>
    <row r="4" spans="1:16" x14ac:dyDescent="0.25">
      <c r="B4" s="39"/>
      <c r="C4" s="39"/>
      <c r="D4" s="40"/>
      <c r="F4" s="25" t="s">
        <v>70</v>
      </c>
      <c r="G4" s="15" t="s">
        <v>6</v>
      </c>
      <c r="H4" s="15" t="s">
        <v>8</v>
      </c>
      <c r="L4" s="25" t="s">
        <v>71</v>
      </c>
      <c r="N4" s="1"/>
      <c r="O4" s="5" t="s">
        <v>14</v>
      </c>
      <c r="P4" s="4"/>
    </row>
    <row r="5" spans="1:16" ht="15.75" thickBot="1" x14ac:dyDescent="0.3">
      <c r="B5" s="39"/>
      <c r="C5" s="39"/>
      <c r="D5" s="40"/>
      <c r="F5" s="32">
        <v>1</v>
      </c>
      <c r="G5" s="32" t="s">
        <v>27</v>
      </c>
      <c r="H5" s="26">
        <v>21811</v>
      </c>
      <c r="L5" s="34">
        <v>1234512345</v>
      </c>
      <c r="N5" s="1"/>
      <c r="O5" s="6">
        <v>2</v>
      </c>
      <c r="P5" s="4"/>
    </row>
    <row r="6" spans="1:16" ht="15.75" thickBot="1" x14ac:dyDescent="0.3">
      <c r="B6" s="39"/>
      <c r="C6" s="39"/>
      <c r="D6" s="40"/>
      <c r="F6" s="32">
        <v>2</v>
      </c>
      <c r="G6" s="32"/>
      <c r="H6" s="26"/>
      <c r="N6" s="1"/>
      <c r="P6" s="4"/>
    </row>
    <row r="7" spans="1:16" ht="15.75" thickBot="1" x14ac:dyDescent="0.3">
      <c r="L7" s="25" t="s">
        <v>78</v>
      </c>
      <c r="N7" s="1"/>
      <c r="O7" s="3"/>
      <c r="P7" s="2">
        <f>SUM(P12:P1015)</f>
        <v>2428</v>
      </c>
    </row>
    <row r="8" spans="1:16" ht="15.75" thickBot="1" x14ac:dyDescent="0.3">
      <c r="B8" s="41" t="s">
        <v>81</v>
      </c>
      <c r="C8" s="42"/>
      <c r="D8" s="43"/>
      <c r="L8" s="34">
        <v>120</v>
      </c>
      <c r="N8" s="1"/>
      <c r="O8" s="3"/>
      <c r="P8" s="4"/>
    </row>
    <row r="9" spans="1:16" ht="15.75" thickBot="1" x14ac:dyDescent="0.3">
      <c r="B9" s="44" t="s">
        <v>100</v>
      </c>
      <c r="C9" s="45"/>
      <c r="D9" s="46"/>
      <c r="M9" t="s">
        <v>28</v>
      </c>
      <c r="N9" s="1" t="str">
        <f>ip_to_string(D9)</f>
        <v>0.0.0.0</v>
      </c>
      <c r="O9" s="3">
        <f>(2^32+L9)*TIME(0,0,1)+2+TIME($O$5,0,0)</f>
        <v>49712.352962962963</v>
      </c>
      <c r="P9" s="4">
        <f t="shared" ref="P9" si="0" xml:space="preserve"> 4 + 1 + 2 + 1 + LEN(D9)+1 + 4 + IF(OR(F9=1,F9=4,F9=6),LEN(G9)+1,0) + IF(OR(F9=2,F9=3,F9=5),4,0) + 5</f>
        <v>18</v>
      </c>
    </row>
    <row r="11" spans="1:16" x14ac:dyDescent="0.25">
      <c r="A11" s="33" t="s">
        <v>68</v>
      </c>
      <c r="B11" s="33" t="s">
        <v>77</v>
      </c>
      <c r="C11" s="10" t="s">
        <v>2</v>
      </c>
      <c r="D11" s="10" t="s">
        <v>3</v>
      </c>
      <c r="E11" s="11" t="s">
        <v>4</v>
      </c>
      <c r="F11" s="11" t="s">
        <v>5</v>
      </c>
      <c r="G11" s="10" t="s">
        <v>6</v>
      </c>
      <c r="H11" s="11" t="s">
        <v>15</v>
      </c>
      <c r="I11" s="10" t="s">
        <v>8</v>
      </c>
      <c r="J11" s="10" t="s">
        <v>79</v>
      </c>
      <c r="K11" s="11" t="s">
        <v>10</v>
      </c>
      <c r="L11" s="10" t="s">
        <v>16</v>
      </c>
      <c r="M11" s="12"/>
      <c r="N11" s="35" t="s">
        <v>7</v>
      </c>
      <c r="O11" s="36" t="s">
        <v>11</v>
      </c>
      <c r="P11" s="35" t="s">
        <v>12</v>
      </c>
    </row>
    <row r="12" spans="1:16" x14ac:dyDescent="0.25">
      <c r="A12" t="s">
        <v>69</v>
      </c>
      <c r="B12" s="37" t="s">
        <v>80</v>
      </c>
      <c r="C12">
        <v>555888001</v>
      </c>
      <c r="D12" t="s">
        <v>83</v>
      </c>
      <c r="E12">
        <v>0</v>
      </c>
      <c r="F12">
        <v>3</v>
      </c>
      <c r="G12" t="s">
        <v>34</v>
      </c>
      <c r="H12">
        <v>67258235</v>
      </c>
      <c r="I12">
        <v>19</v>
      </c>
      <c r="J12">
        <v>33</v>
      </c>
      <c r="K12">
        <v>54321</v>
      </c>
      <c r="L12">
        <v>-566933250</v>
      </c>
      <c r="N12" s="1" t="str">
        <f t="shared" ref="N12" si="1">ip_to_string(H12)</f>
        <v>123.71.2.4</v>
      </c>
      <c r="O12" s="3">
        <f>(2^32+L12)*TIME(0,0,1)+2+TIME($O$5,0,0)</f>
        <v>43150.625532407408</v>
      </c>
      <c r="P12" s="4">
        <f t="shared" ref="P12" si="2" xml:space="preserve"> 4 + 1 + 2 + 1 + LEN(D12)+1 + 4 + IF(OR(F12=1,F12=4,F12=6),LEN(G12)+1,0) + IF(OR(F12=2,F12=3,F12=5),4,0) + 5</f>
        <v>50</v>
      </c>
    </row>
    <row r="13" spans="1:16" x14ac:dyDescent="0.25">
      <c r="A13" t="s">
        <v>87</v>
      </c>
      <c r="B13" t="s">
        <v>88</v>
      </c>
      <c r="C13">
        <v>555888001</v>
      </c>
      <c r="D13" t="s">
        <v>86</v>
      </c>
      <c r="E13">
        <v>0</v>
      </c>
      <c r="F13">
        <v>0</v>
      </c>
      <c r="I13">
        <v>19</v>
      </c>
      <c r="J13">
        <v>33</v>
      </c>
      <c r="K13">
        <v>54321</v>
      </c>
      <c r="L13">
        <v>-555185328</v>
      </c>
      <c r="N13" s="1" t="str">
        <f t="shared" ref="N13:N33" si="3">ip_to_string(H13)</f>
        <v>0.0.0.0</v>
      </c>
      <c r="O13" s="3">
        <f t="shared" ref="O13:O33" si="4">(2^32+L13)*TIME(0,0,1)+2+TIME($O$5,0,0)</f>
        <v>43286.596851851849</v>
      </c>
      <c r="P13" s="4">
        <f t="shared" ref="P13:P33" si="5" xml:space="preserve"> 4 + 1 + 2 + 1 + LEN(D13)+1 + 4 + IF(OR(F13=1,F13=4,F13=6),LEN(G13)+1,0) + IF(OR(F13=2,F13=3,F13=5),4,0) + 5</f>
        <v>51</v>
      </c>
    </row>
    <row r="14" spans="1:16" x14ac:dyDescent="0.25">
      <c r="A14" t="s">
        <v>89</v>
      </c>
      <c r="B14" t="s">
        <v>90</v>
      </c>
      <c r="N14" s="1" t="str">
        <f t="shared" si="3"/>
        <v>0.0.0.0</v>
      </c>
      <c r="O14" s="3">
        <f t="shared" si="4"/>
        <v>49712.352962962963</v>
      </c>
      <c r="P14" s="4">
        <f t="shared" si="5"/>
        <v>18</v>
      </c>
    </row>
    <row r="15" spans="1:16" x14ac:dyDescent="0.25">
      <c r="A15" t="s">
        <v>91</v>
      </c>
      <c r="B15" t="s">
        <v>90</v>
      </c>
      <c r="N15" s="1" t="str">
        <f t="shared" si="3"/>
        <v>0.0.0.0</v>
      </c>
      <c r="O15" s="3">
        <f t="shared" si="4"/>
        <v>49712.352962962963</v>
      </c>
      <c r="P15" s="4">
        <f t="shared" si="5"/>
        <v>18</v>
      </c>
    </row>
    <row r="16" spans="1:16" x14ac:dyDescent="0.25">
      <c r="A16" t="s">
        <v>95</v>
      </c>
      <c r="B16" t="s">
        <v>90</v>
      </c>
      <c r="N16" s="1" t="str">
        <f t="shared" si="3"/>
        <v>0.0.0.0</v>
      </c>
      <c r="O16" s="3">
        <f t="shared" si="4"/>
        <v>49712.352962962963</v>
      </c>
      <c r="P16" s="4">
        <f t="shared" si="5"/>
        <v>18</v>
      </c>
    </row>
    <row r="17" spans="1:16" x14ac:dyDescent="0.25">
      <c r="A17" t="s">
        <v>102</v>
      </c>
      <c r="B17" t="s">
        <v>88</v>
      </c>
      <c r="C17">
        <v>555888001</v>
      </c>
      <c r="D17" t="s">
        <v>86</v>
      </c>
      <c r="E17">
        <v>0</v>
      </c>
      <c r="F17">
        <v>0</v>
      </c>
      <c r="H17">
        <v>0</v>
      </c>
      <c r="I17">
        <v>19</v>
      </c>
      <c r="J17">
        <v>33</v>
      </c>
      <c r="K17">
        <v>54321</v>
      </c>
      <c r="L17">
        <v>-555185328</v>
      </c>
      <c r="N17" s="1" t="str">
        <f t="shared" si="3"/>
        <v>0.0.0.0</v>
      </c>
      <c r="O17" s="3">
        <f t="shared" si="4"/>
        <v>43286.596851851849</v>
      </c>
      <c r="P17" s="4">
        <f t="shared" si="5"/>
        <v>51</v>
      </c>
    </row>
    <row r="18" spans="1:16" x14ac:dyDescent="0.25">
      <c r="A18" t="s">
        <v>103</v>
      </c>
      <c r="B18" t="s">
        <v>88</v>
      </c>
      <c r="C18">
        <v>555888001</v>
      </c>
      <c r="D18" t="s">
        <v>76</v>
      </c>
      <c r="E18">
        <v>2</v>
      </c>
      <c r="F18">
        <v>5</v>
      </c>
      <c r="H18">
        <v>-1547690303</v>
      </c>
      <c r="I18">
        <v>20</v>
      </c>
      <c r="J18">
        <v>0</v>
      </c>
      <c r="K18">
        <v>54321</v>
      </c>
      <c r="L18">
        <v>-555185296</v>
      </c>
      <c r="N18" s="1" t="str">
        <f t="shared" si="3"/>
        <v>193.30.192.163</v>
      </c>
      <c r="O18" s="3">
        <f t="shared" si="4"/>
        <v>43286.597222222219</v>
      </c>
      <c r="P18" s="4">
        <f t="shared" si="5"/>
        <v>23</v>
      </c>
    </row>
    <row r="19" spans="1:16" x14ac:dyDescent="0.25">
      <c r="A19" t="s">
        <v>104</v>
      </c>
      <c r="B19" t="s">
        <v>105</v>
      </c>
      <c r="C19">
        <v>555888001</v>
      </c>
      <c r="D19" t="s">
        <v>76</v>
      </c>
      <c r="E19">
        <v>2</v>
      </c>
      <c r="F19">
        <v>5</v>
      </c>
      <c r="H19">
        <v>-1547690303</v>
      </c>
      <c r="I19">
        <v>20</v>
      </c>
      <c r="J19">
        <v>0</v>
      </c>
      <c r="K19">
        <v>54321</v>
      </c>
      <c r="L19">
        <v>-555185295</v>
      </c>
      <c r="N19" s="1" t="str">
        <f t="shared" si="3"/>
        <v>193.30.192.163</v>
      </c>
      <c r="O19" s="3">
        <f t="shared" si="4"/>
        <v>43286.597233796296</v>
      </c>
      <c r="P19" s="4">
        <f t="shared" si="5"/>
        <v>23</v>
      </c>
    </row>
    <row r="20" spans="1:16" x14ac:dyDescent="0.25">
      <c r="A20" t="s">
        <v>87</v>
      </c>
      <c r="B20" t="s">
        <v>88</v>
      </c>
      <c r="C20">
        <v>555888001</v>
      </c>
      <c r="D20" t="s">
        <v>96</v>
      </c>
      <c r="E20">
        <v>0</v>
      </c>
      <c r="F20">
        <v>1</v>
      </c>
      <c r="G20" t="s">
        <v>34</v>
      </c>
      <c r="I20">
        <v>19</v>
      </c>
      <c r="J20">
        <v>33</v>
      </c>
      <c r="K20">
        <v>54321</v>
      </c>
      <c r="L20">
        <v>-555185273</v>
      </c>
      <c r="N20" s="1" t="str">
        <f t="shared" si="3"/>
        <v>0.0.0.0</v>
      </c>
      <c r="O20" s="3">
        <f t="shared" si="4"/>
        <v>43286.597488425927</v>
      </c>
      <c r="P20" s="4">
        <f t="shared" si="5"/>
        <v>66</v>
      </c>
    </row>
    <row r="21" spans="1:16" x14ac:dyDescent="0.25">
      <c r="A21" t="s">
        <v>89</v>
      </c>
      <c r="B21" t="s">
        <v>88</v>
      </c>
      <c r="C21">
        <v>555888001</v>
      </c>
      <c r="D21" t="s">
        <v>96</v>
      </c>
      <c r="E21">
        <v>0</v>
      </c>
      <c r="F21">
        <v>1</v>
      </c>
      <c r="G21" t="s">
        <v>34</v>
      </c>
      <c r="H21">
        <v>0</v>
      </c>
      <c r="I21">
        <v>19</v>
      </c>
      <c r="J21">
        <v>33</v>
      </c>
      <c r="K21">
        <v>0</v>
      </c>
      <c r="L21">
        <v>-555185273</v>
      </c>
      <c r="N21" s="1" t="str">
        <f t="shared" si="3"/>
        <v>0.0.0.0</v>
      </c>
      <c r="O21" s="3">
        <f t="shared" si="4"/>
        <v>43286.597488425927</v>
      </c>
      <c r="P21" s="4">
        <f t="shared" si="5"/>
        <v>66</v>
      </c>
    </row>
    <row r="22" spans="1:16" x14ac:dyDescent="0.25">
      <c r="A22" t="s">
        <v>91</v>
      </c>
      <c r="B22" t="s">
        <v>88</v>
      </c>
      <c r="C22">
        <v>555888001</v>
      </c>
      <c r="D22" t="s">
        <v>96</v>
      </c>
      <c r="E22">
        <v>0</v>
      </c>
      <c r="F22">
        <v>1</v>
      </c>
      <c r="G22" t="s">
        <v>34</v>
      </c>
      <c r="H22">
        <v>0</v>
      </c>
      <c r="I22">
        <v>19</v>
      </c>
      <c r="J22">
        <v>33</v>
      </c>
      <c r="K22">
        <v>0</v>
      </c>
      <c r="L22">
        <v>-555185273</v>
      </c>
      <c r="N22" s="1" t="str">
        <f t="shared" si="3"/>
        <v>0.0.0.0</v>
      </c>
      <c r="O22" s="3">
        <f t="shared" si="4"/>
        <v>43286.597488425927</v>
      </c>
      <c r="P22" s="4">
        <f t="shared" si="5"/>
        <v>66</v>
      </c>
    </row>
    <row r="23" spans="1:16" x14ac:dyDescent="0.25">
      <c r="A23" t="s">
        <v>95</v>
      </c>
      <c r="B23" t="s">
        <v>88</v>
      </c>
      <c r="C23">
        <v>555888001</v>
      </c>
      <c r="D23" t="s">
        <v>96</v>
      </c>
      <c r="E23">
        <v>0</v>
      </c>
      <c r="F23">
        <v>1</v>
      </c>
      <c r="G23" t="s">
        <v>34</v>
      </c>
      <c r="I23">
        <v>19</v>
      </c>
      <c r="J23">
        <v>33</v>
      </c>
      <c r="K23">
        <v>0</v>
      </c>
      <c r="L23">
        <v>0</v>
      </c>
      <c r="N23" s="1" t="str">
        <f t="shared" si="3"/>
        <v>0.0.0.0</v>
      </c>
      <c r="O23" s="3">
        <f t="shared" si="4"/>
        <v>49712.352962962963</v>
      </c>
      <c r="P23" s="4">
        <f t="shared" si="5"/>
        <v>66</v>
      </c>
    </row>
    <row r="24" spans="1:16" x14ac:dyDescent="0.25">
      <c r="A24" t="s">
        <v>102</v>
      </c>
      <c r="B24" t="s">
        <v>88</v>
      </c>
      <c r="C24">
        <v>555888001</v>
      </c>
      <c r="D24" t="s">
        <v>96</v>
      </c>
      <c r="E24">
        <v>0</v>
      </c>
      <c r="F24">
        <v>1</v>
      </c>
      <c r="G24" t="s">
        <v>34</v>
      </c>
      <c r="H24">
        <v>0</v>
      </c>
      <c r="I24">
        <v>19</v>
      </c>
      <c r="J24">
        <v>33</v>
      </c>
      <c r="K24">
        <v>54321</v>
      </c>
      <c r="L24">
        <v>-555185273</v>
      </c>
      <c r="N24" s="1" t="str">
        <f t="shared" si="3"/>
        <v>0.0.0.0</v>
      </c>
      <c r="O24" s="3">
        <f t="shared" si="4"/>
        <v>43286.597488425927</v>
      </c>
      <c r="P24" s="4">
        <f t="shared" si="5"/>
        <v>66</v>
      </c>
    </row>
    <row r="25" spans="1:16" x14ac:dyDescent="0.25">
      <c r="A25" t="s">
        <v>103</v>
      </c>
      <c r="B25" t="s">
        <v>97</v>
      </c>
      <c r="C25">
        <v>555888001</v>
      </c>
      <c r="D25" t="s">
        <v>96</v>
      </c>
      <c r="E25">
        <v>0</v>
      </c>
      <c r="F25">
        <v>1</v>
      </c>
      <c r="G25" t="s">
        <v>34</v>
      </c>
      <c r="I25">
        <v>20</v>
      </c>
      <c r="J25">
        <v>33</v>
      </c>
      <c r="K25">
        <v>54321</v>
      </c>
      <c r="L25">
        <v>-555185243</v>
      </c>
      <c r="N25" s="1" t="str">
        <f t="shared" si="3"/>
        <v>0.0.0.0</v>
      </c>
      <c r="O25" s="3">
        <f t="shared" si="4"/>
        <v>43286.59783564815</v>
      </c>
      <c r="P25" s="4">
        <f t="shared" si="5"/>
        <v>66</v>
      </c>
    </row>
    <row r="26" spans="1:16" x14ac:dyDescent="0.25">
      <c r="A26" t="s">
        <v>106</v>
      </c>
      <c r="B26" t="s">
        <v>88</v>
      </c>
      <c r="C26">
        <v>555888001</v>
      </c>
      <c r="D26" t="s">
        <v>96</v>
      </c>
      <c r="E26">
        <v>0</v>
      </c>
      <c r="F26">
        <v>1</v>
      </c>
      <c r="G26" t="s">
        <v>34</v>
      </c>
      <c r="H26">
        <v>0</v>
      </c>
      <c r="I26">
        <v>19</v>
      </c>
      <c r="J26">
        <v>33</v>
      </c>
      <c r="K26">
        <v>0</v>
      </c>
      <c r="L26">
        <v>-555185273</v>
      </c>
      <c r="N26" s="1" t="str">
        <f t="shared" si="3"/>
        <v>0.0.0.0</v>
      </c>
      <c r="O26" s="3">
        <f t="shared" si="4"/>
        <v>43286.597488425927</v>
      </c>
      <c r="P26" s="4">
        <f t="shared" si="5"/>
        <v>66</v>
      </c>
    </row>
    <row r="27" spans="1:16" x14ac:dyDescent="0.25">
      <c r="A27" t="s">
        <v>87</v>
      </c>
      <c r="B27" t="s">
        <v>88</v>
      </c>
      <c r="C27">
        <v>555888001</v>
      </c>
      <c r="D27" t="s">
        <v>98</v>
      </c>
      <c r="E27">
        <v>0</v>
      </c>
      <c r="F27">
        <v>2</v>
      </c>
      <c r="H27">
        <v>67258235</v>
      </c>
      <c r="I27">
        <v>19</v>
      </c>
      <c r="J27">
        <v>33</v>
      </c>
      <c r="K27">
        <v>54321</v>
      </c>
      <c r="L27">
        <v>-555185239</v>
      </c>
      <c r="N27" s="1" t="str">
        <f t="shared" si="3"/>
        <v>123.71.2.4</v>
      </c>
      <c r="O27" s="3">
        <f t="shared" si="4"/>
        <v>43286.597881944443</v>
      </c>
      <c r="P27" s="4">
        <f t="shared" si="5"/>
        <v>55</v>
      </c>
    </row>
    <row r="28" spans="1:16" x14ac:dyDescent="0.25">
      <c r="A28" t="s">
        <v>89</v>
      </c>
      <c r="B28" t="s">
        <v>88</v>
      </c>
      <c r="C28">
        <v>555888001</v>
      </c>
      <c r="D28" t="s">
        <v>98</v>
      </c>
      <c r="E28">
        <v>0</v>
      </c>
      <c r="F28">
        <v>2</v>
      </c>
      <c r="H28">
        <v>67258235</v>
      </c>
      <c r="I28">
        <v>19</v>
      </c>
      <c r="J28">
        <v>33</v>
      </c>
      <c r="K28">
        <v>0</v>
      </c>
      <c r="L28">
        <v>-555185239</v>
      </c>
      <c r="N28" s="1" t="str">
        <f t="shared" si="3"/>
        <v>123.71.2.4</v>
      </c>
      <c r="O28" s="3">
        <f t="shared" si="4"/>
        <v>43286.597881944443</v>
      </c>
      <c r="P28" s="4">
        <f t="shared" si="5"/>
        <v>55</v>
      </c>
    </row>
    <row r="29" spans="1:16" x14ac:dyDescent="0.25">
      <c r="A29" t="s">
        <v>91</v>
      </c>
      <c r="B29" t="s">
        <v>88</v>
      </c>
      <c r="C29">
        <v>555888001</v>
      </c>
      <c r="D29" t="s">
        <v>98</v>
      </c>
      <c r="E29">
        <v>0</v>
      </c>
      <c r="F29">
        <v>2</v>
      </c>
      <c r="H29">
        <v>67258235</v>
      </c>
      <c r="I29">
        <v>19</v>
      </c>
      <c r="J29">
        <v>33</v>
      </c>
      <c r="K29">
        <v>0</v>
      </c>
      <c r="L29">
        <v>-555185239</v>
      </c>
      <c r="N29" s="1" t="str">
        <f t="shared" si="3"/>
        <v>123.71.2.4</v>
      </c>
      <c r="O29" s="3">
        <f t="shared" si="4"/>
        <v>43286.597881944443</v>
      </c>
      <c r="P29" s="4">
        <f t="shared" si="5"/>
        <v>55</v>
      </c>
    </row>
    <row r="30" spans="1:16" x14ac:dyDescent="0.25">
      <c r="A30" t="s">
        <v>95</v>
      </c>
      <c r="B30" t="s">
        <v>88</v>
      </c>
      <c r="C30">
        <v>555888001</v>
      </c>
      <c r="D30" t="s">
        <v>98</v>
      </c>
      <c r="E30">
        <v>0</v>
      </c>
      <c r="F30">
        <v>2</v>
      </c>
      <c r="H30">
        <v>67258235</v>
      </c>
      <c r="I30">
        <v>19</v>
      </c>
      <c r="J30">
        <v>33</v>
      </c>
      <c r="K30">
        <v>0</v>
      </c>
      <c r="L30">
        <v>0</v>
      </c>
      <c r="N30" s="1" t="str">
        <f t="shared" si="3"/>
        <v>123.71.2.4</v>
      </c>
      <c r="O30" s="3">
        <f t="shared" si="4"/>
        <v>49712.352962962963</v>
      </c>
      <c r="P30" s="4">
        <f t="shared" si="5"/>
        <v>55</v>
      </c>
    </row>
    <row r="31" spans="1:16" x14ac:dyDescent="0.25">
      <c r="A31" t="s">
        <v>102</v>
      </c>
      <c r="N31" s="1" t="str">
        <f t="shared" si="3"/>
        <v>0.0.0.0</v>
      </c>
      <c r="O31" s="3">
        <f t="shared" si="4"/>
        <v>49712.352962962963</v>
      </c>
      <c r="P31" s="4">
        <f t="shared" si="5"/>
        <v>18</v>
      </c>
    </row>
    <row r="32" spans="1:16" x14ac:dyDescent="0.25">
      <c r="N32" s="1" t="str">
        <f t="shared" si="3"/>
        <v>0.0.0.0</v>
      </c>
      <c r="O32" s="3">
        <f t="shared" si="4"/>
        <v>49712.352962962963</v>
      </c>
      <c r="P32" s="4">
        <f t="shared" si="5"/>
        <v>18</v>
      </c>
    </row>
    <row r="33" spans="14:16" x14ac:dyDescent="0.25">
      <c r="N33" s="1" t="str">
        <f t="shared" si="3"/>
        <v>0.0.0.0</v>
      </c>
      <c r="O33" s="3">
        <f t="shared" si="4"/>
        <v>49712.352962962963</v>
      </c>
      <c r="P33" s="4">
        <f t="shared" si="5"/>
        <v>18</v>
      </c>
    </row>
    <row r="34" spans="14:16" x14ac:dyDescent="0.25">
      <c r="N34" s="1" t="str">
        <f t="shared" ref="N34:N97" si="6">ip_to_string(H34)</f>
        <v>0.0.0.0</v>
      </c>
      <c r="O34" s="3">
        <f t="shared" ref="O34:O97" si="7">(2^32+L34)*TIME(0,0,1)+2+TIME($O$5,0,0)</f>
        <v>49712.352962962963</v>
      </c>
      <c r="P34" s="4">
        <f t="shared" ref="P34:P97" si="8" xml:space="preserve"> 4 + 1 + 2 + 1 + LEN(D34)+1 + 4 + IF(OR(F34=1,F34=4,F34=6),LEN(G34)+1,0) + IF(OR(F34=2,F34=3,F34=5),4,0) + 5</f>
        <v>18</v>
      </c>
    </row>
    <row r="35" spans="14:16" x14ac:dyDescent="0.25">
      <c r="N35" s="1" t="str">
        <f t="shared" si="6"/>
        <v>0.0.0.0</v>
      </c>
      <c r="O35" s="3">
        <f t="shared" si="7"/>
        <v>49712.352962962963</v>
      </c>
      <c r="P35" s="4">
        <f t="shared" si="8"/>
        <v>18</v>
      </c>
    </row>
    <row r="36" spans="14:16" x14ac:dyDescent="0.25">
      <c r="N36" s="1" t="str">
        <f t="shared" si="6"/>
        <v>0.0.0.0</v>
      </c>
      <c r="O36" s="3">
        <f t="shared" si="7"/>
        <v>49712.352962962963</v>
      </c>
      <c r="P36" s="4">
        <f t="shared" si="8"/>
        <v>18</v>
      </c>
    </row>
    <row r="37" spans="14:16" x14ac:dyDescent="0.25">
      <c r="N37" s="1" t="str">
        <f t="shared" si="6"/>
        <v>0.0.0.0</v>
      </c>
      <c r="O37" s="3">
        <f t="shared" si="7"/>
        <v>49712.352962962963</v>
      </c>
      <c r="P37" s="4">
        <f t="shared" si="8"/>
        <v>18</v>
      </c>
    </row>
    <row r="38" spans="14:16" x14ac:dyDescent="0.25">
      <c r="N38" s="1" t="str">
        <f t="shared" si="6"/>
        <v>0.0.0.0</v>
      </c>
      <c r="O38" s="3">
        <f t="shared" si="7"/>
        <v>49712.352962962963</v>
      </c>
      <c r="P38" s="4">
        <f t="shared" si="8"/>
        <v>18</v>
      </c>
    </row>
    <row r="39" spans="14:16" x14ac:dyDescent="0.25">
      <c r="N39" s="1" t="str">
        <f t="shared" si="6"/>
        <v>0.0.0.0</v>
      </c>
      <c r="O39" s="3">
        <f t="shared" si="7"/>
        <v>49712.352962962963</v>
      </c>
      <c r="P39" s="4">
        <f t="shared" si="8"/>
        <v>18</v>
      </c>
    </row>
    <row r="40" spans="14:16" x14ac:dyDescent="0.25">
      <c r="N40" s="1" t="str">
        <f t="shared" si="6"/>
        <v>0.0.0.0</v>
      </c>
      <c r="O40" s="3">
        <f t="shared" si="7"/>
        <v>49712.352962962963</v>
      </c>
      <c r="P40" s="4">
        <f t="shared" si="8"/>
        <v>18</v>
      </c>
    </row>
    <row r="41" spans="14:16" x14ac:dyDescent="0.25">
      <c r="N41" s="1" t="str">
        <f t="shared" si="6"/>
        <v>0.0.0.0</v>
      </c>
      <c r="O41" s="3">
        <f t="shared" si="7"/>
        <v>49712.352962962963</v>
      </c>
      <c r="P41" s="4">
        <f t="shared" si="8"/>
        <v>18</v>
      </c>
    </row>
    <row r="42" spans="14:16" x14ac:dyDescent="0.25">
      <c r="N42" s="1" t="str">
        <f t="shared" si="6"/>
        <v>0.0.0.0</v>
      </c>
      <c r="O42" s="3">
        <f t="shared" si="7"/>
        <v>49712.352962962963</v>
      </c>
      <c r="P42" s="4">
        <f t="shared" si="8"/>
        <v>18</v>
      </c>
    </row>
    <row r="43" spans="14:16" x14ac:dyDescent="0.25">
      <c r="N43" s="1" t="str">
        <f t="shared" si="6"/>
        <v>0.0.0.0</v>
      </c>
      <c r="O43" s="3">
        <f t="shared" si="7"/>
        <v>49712.352962962963</v>
      </c>
      <c r="P43" s="4">
        <f t="shared" si="8"/>
        <v>18</v>
      </c>
    </row>
    <row r="44" spans="14:16" x14ac:dyDescent="0.25">
      <c r="N44" s="1" t="str">
        <f t="shared" si="6"/>
        <v>0.0.0.0</v>
      </c>
      <c r="O44" s="3">
        <f t="shared" si="7"/>
        <v>49712.352962962963</v>
      </c>
      <c r="P44" s="4">
        <f t="shared" si="8"/>
        <v>18</v>
      </c>
    </row>
    <row r="45" spans="14:16" x14ac:dyDescent="0.25">
      <c r="N45" s="1" t="str">
        <f t="shared" si="6"/>
        <v>0.0.0.0</v>
      </c>
      <c r="O45" s="3">
        <f t="shared" si="7"/>
        <v>49712.352962962963</v>
      </c>
      <c r="P45" s="4">
        <f t="shared" si="8"/>
        <v>18</v>
      </c>
    </row>
    <row r="46" spans="14:16" x14ac:dyDescent="0.25">
      <c r="N46" s="1" t="str">
        <f t="shared" si="6"/>
        <v>0.0.0.0</v>
      </c>
      <c r="O46" s="3">
        <f t="shared" si="7"/>
        <v>49712.352962962963</v>
      </c>
      <c r="P46" s="4">
        <f t="shared" si="8"/>
        <v>18</v>
      </c>
    </row>
    <row r="47" spans="14:16" x14ac:dyDescent="0.25">
      <c r="N47" s="1" t="str">
        <f t="shared" si="6"/>
        <v>0.0.0.0</v>
      </c>
      <c r="O47" s="3">
        <f t="shared" si="7"/>
        <v>49712.352962962963</v>
      </c>
      <c r="P47" s="4">
        <f t="shared" si="8"/>
        <v>18</v>
      </c>
    </row>
    <row r="48" spans="14:16" x14ac:dyDescent="0.25">
      <c r="N48" s="1" t="str">
        <f t="shared" si="6"/>
        <v>0.0.0.0</v>
      </c>
      <c r="O48" s="3">
        <f t="shared" si="7"/>
        <v>49712.352962962963</v>
      </c>
      <c r="P48" s="4">
        <f t="shared" si="8"/>
        <v>18</v>
      </c>
    </row>
    <row r="49" spans="14:16" x14ac:dyDescent="0.25">
      <c r="N49" s="1" t="str">
        <f t="shared" si="6"/>
        <v>0.0.0.0</v>
      </c>
      <c r="O49" s="3">
        <f t="shared" si="7"/>
        <v>49712.352962962963</v>
      </c>
      <c r="P49" s="4">
        <f t="shared" si="8"/>
        <v>18</v>
      </c>
    </row>
    <row r="50" spans="14:16" x14ac:dyDescent="0.25">
      <c r="N50" s="1" t="str">
        <f t="shared" si="6"/>
        <v>0.0.0.0</v>
      </c>
      <c r="O50" s="3">
        <f t="shared" si="7"/>
        <v>49712.352962962963</v>
      </c>
      <c r="P50" s="4">
        <f t="shared" si="8"/>
        <v>18</v>
      </c>
    </row>
    <row r="51" spans="14:16" x14ac:dyDescent="0.25">
      <c r="N51" s="1" t="str">
        <f t="shared" si="6"/>
        <v>0.0.0.0</v>
      </c>
      <c r="O51" s="3">
        <f t="shared" si="7"/>
        <v>49712.352962962963</v>
      </c>
      <c r="P51" s="4">
        <f t="shared" si="8"/>
        <v>18</v>
      </c>
    </row>
    <row r="52" spans="14:16" x14ac:dyDescent="0.25">
      <c r="N52" s="1" t="str">
        <f t="shared" si="6"/>
        <v>0.0.0.0</v>
      </c>
      <c r="O52" s="3">
        <f t="shared" si="7"/>
        <v>49712.352962962963</v>
      </c>
      <c r="P52" s="4">
        <f t="shared" si="8"/>
        <v>18</v>
      </c>
    </row>
    <row r="53" spans="14:16" x14ac:dyDescent="0.25">
      <c r="N53" s="1" t="str">
        <f t="shared" si="6"/>
        <v>0.0.0.0</v>
      </c>
      <c r="O53" s="3">
        <f t="shared" si="7"/>
        <v>49712.352962962963</v>
      </c>
      <c r="P53" s="4">
        <f t="shared" si="8"/>
        <v>18</v>
      </c>
    </row>
    <row r="54" spans="14:16" x14ac:dyDescent="0.25">
      <c r="N54" s="1" t="str">
        <f t="shared" si="6"/>
        <v>0.0.0.0</v>
      </c>
      <c r="O54" s="3">
        <f t="shared" si="7"/>
        <v>49712.352962962963</v>
      </c>
      <c r="P54" s="4">
        <f t="shared" si="8"/>
        <v>18</v>
      </c>
    </row>
    <row r="55" spans="14:16" x14ac:dyDescent="0.25">
      <c r="N55" s="1" t="str">
        <f t="shared" si="6"/>
        <v>0.0.0.0</v>
      </c>
      <c r="O55" s="3">
        <f t="shared" si="7"/>
        <v>49712.352962962963</v>
      </c>
      <c r="P55" s="4">
        <f t="shared" si="8"/>
        <v>18</v>
      </c>
    </row>
    <row r="56" spans="14:16" x14ac:dyDescent="0.25">
      <c r="N56" s="1" t="str">
        <f t="shared" si="6"/>
        <v>0.0.0.0</v>
      </c>
      <c r="O56" s="3">
        <f t="shared" si="7"/>
        <v>49712.352962962963</v>
      </c>
      <c r="P56" s="4">
        <f t="shared" si="8"/>
        <v>18</v>
      </c>
    </row>
    <row r="57" spans="14:16" x14ac:dyDescent="0.25">
      <c r="N57" s="1" t="str">
        <f t="shared" si="6"/>
        <v>0.0.0.0</v>
      </c>
      <c r="O57" s="3">
        <f t="shared" si="7"/>
        <v>49712.352962962963</v>
      </c>
      <c r="P57" s="4">
        <f t="shared" si="8"/>
        <v>18</v>
      </c>
    </row>
    <row r="58" spans="14:16" x14ac:dyDescent="0.25">
      <c r="N58" s="1" t="str">
        <f t="shared" si="6"/>
        <v>0.0.0.0</v>
      </c>
      <c r="O58" s="3">
        <f t="shared" si="7"/>
        <v>49712.352962962963</v>
      </c>
      <c r="P58" s="4">
        <f t="shared" si="8"/>
        <v>18</v>
      </c>
    </row>
    <row r="59" spans="14:16" x14ac:dyDescent="0.25">
      <c r="N59" s="1" t="str">
        <f t="shared" si="6"/>
        <v>0.0.0.0</v>
      </c>
      <c r="O59" s="3">
        <f t="shared" si="7"/>
        <v>49712.352962962963</v>
      </c>
      <c r="P59" s="4">
        <f t="shared" si="8"/>
        <v>18</v>
      </c>
    </row>
    <row r="60" spans="14:16" x14ac:dyDescent="0.25">
      <c r="N60" s="1" t="str">
        <f t="shared" si="6"/>
        <v>0.0.0.0</v>
      </c>
      <c r="O60" s="3">
        <f t="shared" si="7"/>
        <v>49712.352962962963</v>
      </c>
      <c r="P60" s="4">
        <f t="shared" si="8"/>
        <v>18</v>
      </c>
    </row>
    <row r="61" spans="14:16" x14ac:dyDescent="0.25">
      <c r="N61" s="1" t="str">
        <f t="shared" si="6"/>
        <v>0.0.0.0</v>
      </c>
      <c r="O61" s="3">
        <f t="shared" si="7"/>
        <v>49712.352962962963</v>
      </c>
      <c r="P61" s="4">
        <f t="shared" si="8"/>
        <v>18</v>
      </c>
    </row>
    <row r="62" spans="14:16" x14ac:dyDescent="0.25">
      <c r="N62" s="1" t="str">
        <f t="shared" si="6"/>
        <v>0.0.0.0</v>
      </c>
      <c r="O62" s="3">
        <f t="shared" si="7"/>
        <v>49712.352962962963</v>
      </c>
      <c r="P62" s="4">
        <f t="shared" si="8"/>
        <v>18</v>
      </c>
    </row>
    <row r="63" spans="14:16" x14ac:dyDescent="0.25">
      <c r="N63" s="1" t="str">
        <f t="shared" si="6"/>
        <v>0.0.0.0</v>
      </c>
      <c r="O63" s="3">
        <f t="shared" si="7"/>
        <v>49712.352962962963</v>
      </c>
      <c r="P63" s="4">
        <f t="shared" si="8"/>
        <v>18</v>
      </c>
    </row>
    <row r="64" spans="14:16" x14ac:dyDescent="0.25">
      <c r="N64" s="1" t="str">
        <f t="shared" si="6"/>
        <v>0.0.0.0</v>
      </c>
      <c r="O64" s="3">
        <f t="shared" si="7"/>
        <v>49712.352962962963</v>
      </c>
      <c r="P64" s="4">
        <f t="shared" si="8"/>
        <v>18</v>
      </c>
    </row>
    <row r="65" spans="14:16" x14ac:dyDescent="0.25">
      <c r="N65" s="1" t="str">
        <f t="shared" si="6"/>
        <v>0.0.0.0</v>
      </c>
      <c r="O65" s="3">
        <f t="shared" si="7"/>
        <v>49712.352962962963</v>
      </c>
      <c r="P65" s="4">
        <f t="shared" si="8"/>
        <v>18</v>
      </c>
    </row>
    <row r="66" spans="14:16" x14ac:dyDescent="0.25">
      <c r="N66" s="1" t="str">
        <f t="shared" si="6"/>
        <v>0.0.0.0</v>
      </c>
      <c r="O66" s="3">
        <f t="shared" si="7"/>
        <v>49712.352962962963</v>
      </c>
      <c r="P66" s="4">
        <f t="shared" si="8"/>
        <v>18</v>
      </c>
    </row>
    <row r="67" spans="14:16" x14ac:dyDescent="0.25">
      <c r="N67" s="1" t="str">
        <f t="shared" si="6"/>
        <v>0.0.0.0</v>
      </c>
      <c r="O67" s="3">
        <f t="shared" si="7"/>
        <v>49712.352962962963</v>
      </c>
      <c r="P67" s="4">
        <f t="shared" si="8"/>
        <v>18</v>
      </c>
    </row>
    <row r="68" spans="14:16" x14ac:dyDescent="0.25">
      <c r="N68" s="1" t="str">
        <f t="shared" si="6"/>
        <v>0.0.0.0</v>
      </c>
      <c r="O68" s="3">
        <f t="shared" si="7"/>
        <v>49712.352962962963</v>
      </c>
      <c r="P68" s="4">
        <f t="shared" si="8"/>
        <v>18</v>
      </c>
    </row>
    <row r="69" spans="14:16" x14ac:dyDescent="0.25">
      <c r="N69" s="1" t="str">
        <f t="shared" si="6"/>
        <v>0.0.0.0</v>
      </c>
      <c r="O69" s="3">
        <f t="shared" si="7"/>
        <v>49712.352962962963</v>
      </c>
      <c r="P69" s="4">
        <f t="shared" si="8"/>
        <v>18</v>
      </c>
    </row>
    <row r="70" spans="14:16" x14ac:dyDescent="0.25">
      <c r="N70" s="1" t="str">
        <f t="shared" si="6"/>
        <v>0.0.0.0</v>
      </c>
      <c r="O70" s="3">
        <f t="shared" si="7"/>
        <v>49712.352962962963</v>
      </c>
      <c r="P70" s="4">
        <f t="shared" si="8"/>
        <v>18</v>
      </c>
    </row>
    <row r="71" spans="14:16" x14ac:dyDescent="0.25">
      <c r="N71" s="1" t="str">
        <f t="shared" si="6"/>
        <v>0.0.0.0</v>
      </c>
      <c r="O71" s="3">
        <f t="shared" si="7"/>
        <v>49712.352962962963</v>
      </c>
      <c r="P71" s="4">
        <f t="shared" si="8"/>
        <v>18</v>
      </c>
    </row>
    <row r="72" spans="14:16" x14ac:dyDescent="0.25">
      <c r="N72" s="1" t="str">
        <f t="shared" si="6"/>
        <v>0.0.0.0</v>
      </c>
      <c r="O72" s="3">
        <f t="shared" si="7"/>
        <v>49712.352962962963</v>
      </c>
      <c r="P72" s="4">
        <f t="shared" si="8"/>
        <v>18</v>
      </c>
    </row>
    <row r="73" spans="14:16" x14ac:dyDescent="0.25">
      <c r="N73" s="1" t="str">
        <f t="shared" si="6"/>
        <v>0.0.0.0</v>
      </c>
      <c r="O73" s="3">
        <f t="shared" si="7"/>
        <v>49712.352962962963</v>
      </c>
      <c r="P73" s="4">
        <f t="shared" si="8"/>
        <v>18</v>
      </c>
    </row>
    <row r="74" spans="14:16" x14ac:dyDescent="0.25">
      <c r="N74" s="1" t="str">
        <f t="shared" si="6"/>
        <v>0.0.0.0</v>
      </c>
      <c r="O74" s="3">
        <f t="shared" si="7"/>
        <v>49712.352962962963</v>
      </c>
      <c r="P74" s="4">
        <f t="shared" si="8"/>
        <v>18</v>
      </c>
    </row>
    <row r="75" spans="14:16" x14ac:dyDescent="0.25">
      <c r="N75" s="1" t="str">
        <f t="shared" si="6"/>
        <v>0.0.0.0</v>
      </c>
      <c r="O75" s="3">
        <f t="shared" si="7"/>
        <v>49712.352962962963</v>
      </c>
      <c r="P75" s="4">
        <f t="shared" si="8"/>
        <v>18</v>
      </c>
    </row>
    <row r="76" spans="14:16" x14ac:dyDescent="0.25">
      <c r="N76" s="1" t="str">
        <f t="shared" si="6"/>
        <v>0.0.0.0</v>
      </c>
      <c r="O76" s="3">
        <f t="shared" si="7"/>
        <v>49712.352962962963</v>
      </c>
      <c r="P76" s="4">
        <f t="shared" si="8"/>
        <v>18</v>
      </c>
    </row>
    <row r="77" spans="14:16" x14ac:dyDescent="0.25">
      <c r="N77" s="1" t="str">
        <f t="shared" si="6"/>
        <v>0.0.0.0</v>
      </c>
      <c r="O77" s="3">
        <f t="shared" si="7"/>
        <v>49712.352962962963</v>
      </c>
      <c r="P77" s="4">
        <f t="shared" si="8"/>
        <v>18</v>
      </c>
    </row>
    <row r="78" spans="14:16" x14ac:dyDescent="0.25">
      <c r="N78" s="1" t="str">
        <f t="shared" si="6"/>
        <v>0.0.0.0</v>
      </c>
      <c r="O78" s="3">
        <f t="shared" si="7"/>
        <v>49712.352962962963</v>
      </c>
      <c r="P78" s="4">
        <f t="shared" si="8"/>
        <v>18</v>
      </c>
    </row>
    <row r="79" spans="14:16" x14ac:dyDescent="0.25">
      <c r="N79" s="1" t="str">
        <f t="shared" si="6"/>
        <v>0.0.0.0</v>
      </c>
      <c r="O79" s="3">
        <f t="shared" si="7"/>
        <v>49712.352962962963</v>
      </c>
      <c r="P79" s="4">
        <f t="shared" si="8"/>
        <v>18</v>
      </c>
    </row>
    <row r="80" spans="14:16" x14ac:dyDescent="0.25">
      <c r="N80" s="1" t="str">
        <f t="shared" si="6"/>
        <v>0.0.0.0</v>
      </c>
      <c r="O80" s="3">
        <f t="shared" si="7"/>
        <v>49712.352962962963</v>
      </c>
      <c r="P80" s="4">
        <f t="shared" si="8"/>
        <v>18</v>
      </c>
    </row>
    <row r="81" spans="14:16" x14ac:dyDescent="0.25">
      <c r="N81" s="1" t="str">
        <f t="shared" si="6"/>
        <v>0.0.0.0</v>
      </c>
      <c r="O81" s="3">
        <f t="shared" si="7"/>
        <v>49712.352962962963</v>
      </c>
      <c r="P81" s="4">
        <f t="shared" si="8"/>
        <v>18</v>
      </c>
    </row>
    <row r="82" spans="14:16" x14ac:dyDescent="0.25">
      <c r="N82" s="1" t="str">
        <f t="shared" si="6"/>
        <v>0.0.0.0</v>
      </c>
      <c r="O82" s="3">
        <f t="shared" si="7"/>
        <v>49712.352962962963</v>
      </c>
      <c r="P82" s="4">
        <f t="shared" si="8"/>
        <v>18</v>
      </c>
    </row>
    <row r="83" spans="14:16" x14ac:dyDescent="0.25">
      <c r="N83" s="1" t="str">
        <f t="shared" si="6"/>
        <v>0.0.0.0</v>
      </c>
      <c r="O83" s="3">
        <f t="shared" si="7"/>
        <v>49712.352962962963</v>
      </c>
      <c r="P83" s="4">
        <f t="shared" si="8"/>
        <v>18</v>
      </c>
    </row>
    <row r="84" spans="14:16" x14ac:dyDescent="0.25">
      <c r="N84" s="1" t="str">
        <f t="shared" si="6"/>
        <v>0.0.0.0</v>
      </c>
      <c r="O84" s="3">
        <f t="shared" si="7"/>
        <v>49712.352962962963</v>
      </c>
      <c r="P84" s="4">
        <f t="shared" si="8"/>
        <v>18</v>
      </c>
    </row>
    <row r="85" spans="14:16" x14ac:dyDescent="0.25">
      <c r="N85" s="1" t="str">
        <f t="shared" si="6"/>
        <v>0.0.0.0</v>
      </c>
      <c r="O85" s="3">
        <f t="shared" si="7"/>
        <v>49712.352962962963</v>
      </c>
      <c r="P85" s="4">
        <f t="shared" si="8"/>
        <v>18</v>
      </c>
    </row>
    <row r="86" spans="14:16" x14ac:dyDescent="0.25">
      <c r="N86" s="1" t="str">
        <f t="shared" si="6"/>
        <v>0.0.0.0</v>
      </c>
      <c r="O86" s="3">
        <f t="shared" si="7"/>
        <v>49712.352962962963</v>
      </c>
      <c r="P86" s="4">
        <f t="shared" si="8"/>
        <v>18</v>
      </c>
    </row>
    <row r="87" spans="14:16" x14ac:dyDescent="0.25">
      <c r="N87" s="1" t="str">
        <f t="shared" si="6"/>
        <v>0.0.0.0</v>
      </c>
      <c r="O87" s="3">
        <f t="shared" si="7"/>
        <v>49712.352962962963</v>
      </c>
      <c r="P87" s="4">
        <f t="shared" si="8"/>
        <v>18</v>
      </c>
    </row>
    <row r="88" spans="14:16" x14ac:dyDescent="0.25">
      <c r="N88" s="1" t="str">
        <f t="shared" si="6"/>
        <v>0.0.0.0</v>
      </c>
      <c r="O88" s="3">
        <f t="shared" si="7"/>
        <v>49712.352962962963</v>
      </c>
      <c r="P88" s="4">
        <f t="shared" si="8"/>
        <v>18</v>
      </c>
    </row>
    <row r="89" spans="14:16" x14ac:dyDescent="0.25">
      <c r="N89" s="1" t="str">
        <f t="shared" si="6"/>
        <v>0.0.0.0</v>
      </c>
      <c r="O89" s="3">
        <f t="shared" si="7"/>
        <v>49712.352962962963</v>
      </c>
      <c r="P89" s="4">
        <f t="shared" si="8"/>
        <v>18</v>
      </c>
    </row>
    <row r="90" spans="14:16" x14ac:dyDescent="0.25">
      <c r="N90" s="1" t="str">
        <f t="shared" si="6"/>
        <v>0.0.0.0</v>
      </c>
      <c r="O90" s="3">
        <f t="shared" si="7"/>
        <v>49712.352962962963</v>
      </c>
      <c r="P90" s="4">
        <f t="shared" si="8"/>
        <v>18</v>
      </c>
    </row>
    <row r="91" spans="14:16" x14ac:dyDescent="0.25">
      <c r="N91" s="1" t="str">
        <f t="shared" si="6"/>
        <v>0.0.0.0</v>
      </c>
      <c r="O91" s="3">
        <f t="shared" si="7"/>
        <v>49712.352962962963</v>
      </c>
      <c r="P91" s="4">
        <f t="shared" si="8"/>
        <v>18</v>
      </c>
    </row>
    <row r="92" spans="14:16" x14ac:dyDescent="0.25">
      <c r="N92" s="1" t="str">
        <f t="shared" si="6"/>
        <v>0.0.0.0</v>
      </c>
      <c r="O92" s="3">
        <f t="shared" si="7"/>
        <v>49712.352962962963</v>
      </c>
      <c r="P92" s="4">
        <f t="shared" si="8"/>
        <v>18</v>
      </c>
    </row>
    <row r="93" spans="14:16" x14ac:dyDescent="0.25">
      <c r="N93" s="1" t="str">
        <f t="shared" si="6"/>
        <v>0.0.0.0</v>
      </c>
      <c r="O93" s="3">
        <f t="shared" si="7"/>
        <v>49712.352962962963</v>
      </c>
      <c r="P93" s="4">
        <f t="shared" si="8"/>
        <v>18</v>
      </c>
    </row>
    <row r="94" spans="14:16" x14ac:dyDescent="0.25">
      <c r="N94" s="1" t="str">
        <f t="shared" si="6"/>
        <v>0.0.0.0</v>
      </c>
      <c r="O94" s="3">
        <f t="shared" si="7"/>
        <v>49712.352962962963</v>
      </c>
      <c r="P94" s="4">
        <f t="shared" si="8"/>
        <v>18</v>
      </c>
    </row>
    <row r="95" spans="14:16" x14ac:dyDescent="0.25">
      <c r="N95" s="1" t="str">
        <f t="shared" si="6"/>
        <v>0.0.0.0</v>
      </c>
      <c r="O95" s="3">
        <f t="shared" si="7"/>
        <v>49712.352962962963</v>
      </c>
      <c r="P95" s="4">
        <f t="shared" si="8"/>
        <v>18</v>
      </c>
    </row>
    <row r="96" spans="14:16" x14ac:dyDescent="0.25">
      <c r="N96" s="1" t="str">
        <f t="shared" si="6"/>
        <v>0.0.0.0</v>
      </c>
      <c r="O96" s="3">
        <f t="shared" si="7"/>
        <v>49712.352962962963</v>
      </c>
      <c r="P96" s="4">
        <f t="shared" si="8"/>
        <v>18</v>
      </c>
    </row>
    <row r="97" spans="14:16" x14ac:dyDescent="0.25">
      <c r="N97" s="1" t="str">
        <f t="shared" si="6"/>
        <v>0.0.0.0</v>
      </c>
      <c r="O97" s="3">
        <f t="shared" si="7"/>
        <v>49712.352962962963</v>
      </c>
      <c r="P97" s="4">
        <f t="shared" si="8"/>
        <v>18</v>
      </c>
    </row>
    <row r="98" spans="14:16" x14ac:dyDescent="0.25">
      <c r="N98" s="1" t="str">
        <f t="shared" ref="N98:N113" si="9">ip_to_string(H98)</f>
        <v>0.0.0.0</v>
      </c>
      <c r="O98" s="3">
        <f t="shared" ref="O98:O113" si="10">(2^32+L98)*TIME(0,0,1)+2+TIME($O$5,0,0)</f>
        <v>49712.352962962963</v>
      </c>
      <c r="P98" s="4">
        <f t="shared" ref="P98:P113" si="11" xml:space="preserve"> 4 + 1 + 2 + 1 + LEN(D98)+1 + 4 + IF(OR(F98=1,F98=4,F98=6),LEN(G98)+1,0) + IF(OR(F98=2,F98=3,F98=5),4,0) + 5</f>
        <v>18</v>
      </c>
    </row>
    <row r="99" spans="14:16" x14ac:dyDescent="0.25">
      <c r="N99" s="1" t="str">
        <f t="shared" si="9"/>
        <v>0.0.0.0</v>
      </c>
      <c r="O99" s="3">
        <f t="shared" si="10"/>
        <v>49712.352962962963</v>
      </c>
      <c r="P99" s="4">
        <f t="shared" si="11"/>
        <v>18</v>
      </c>
    </row>
    <row r="100" spans="14:16" x14ac:dyDescent="0.25">
      <c r="N100" s="1" t="str">
        <f t="shared" si="9"/>
        <v>0.0.0.0</v>
      </c>
      <c r="O100" s="3">
        <f t="shared" si="10"/>
        <v>49712.352962962963</v>
      </c>
      <c r="P100" s="4">
        <f t="shared" si="11"/>
        <v>18</v>
      </c>
    </row>
    <row r="101" spans="14:16" x14ac:dyDescent="0.25">
      <c r="N101" s="1" t="str">
        <f t="shared" si="9"/>
        <v>0.0.0.0</v>
      </c>
      <c r="O101" s="3">
        <f t="shared" si="10"/>
        <v>49712.352962962963</v>
      </c>
      <c r="P101" s="4">
        <f t="shared" si="11"/>
        <v>18</v>
      </c>
    </row>
    <row r="102" spans="14:16" x14ac:dyDescent="0.25">
      <c r="N102" s="1" t="str">
        <f t="shared" si="9"/>
        <v>0.0.0.0</v>
      </c>
      <c r="O102" s="3">
        <f t="shared" si="10"/>
        <v>49712.352962962963</v>
      </c>
      <c r="P102" s="4">
        <f t="shared" si="11"/>
        <v>18</v>
      </c>
    </row>
    <row r="103" spans="14:16" x14ac:dyDescent="0.25">
      <c r="N103" s="1" t="str">
        <f t="shared" si="9"/>
        <v>0.0.0.0</v>
      </c>
      <c r="O103" s="3">
        <f t="shared" si="10"/>
        <v>49712.352962962963</v>
      </c>
      <c r="P103" s="4">
        <f t="shared" si="11"/>
        <v>18</v>
      </c>
    </row>
    <row r="104" spans="14:16" x14ac:dyDescent="0.25">
      <c r="N104" s="1" t="str">
        <f t="shared" si="9"/>
        <v>0.0.0.0</v>
      </c>
      <c r="O104" s="3">
        <f t="shared" si="10"/>
        <v>49712.352962962963</v>
      </c>
      <c r="P104" s="4">
        <f t="shared" si="11"/>
        <v>18</v>
      </c>
    </row>
    <row r="105" spans="14:16" x14ac:dyDescent="0.25">
      <c r="N105" s="1" t="str">
        <f t="shared" si="9"/>
        <v>0.0.0.0</v>
      </c>
      <c r="O105" s="3">
        <f t="shared" si="10"/>
        <v>49712.352962962963</v>
      </c>
      <c r="P105" s="4">
        <f t="shared" si="11"/>
        <v>18</v>
      </c>
    </row>
    <row r="106" spans="14:16" x14ac:dyDescent="0.25">
      <c r="N106" s="1" t="str">
        <f t="shared" si="9"/>
        <v>0.0.0.0</v>
      </c>
      <c r="O106" s="3">
        <f t="shared" si="10"/>
        <v>49712.352962962963</v>
      </c>
      <c r="P106" s="4">
        <f t="shared" si="11"/>
        <v>18</v>
      </c>
    </row>
    <row r="107" spans="14:16" x14ac:dyDescent="0.25">
      <c r="N107" s="1" t="str">
        <f t="shared" si="9"/>
        <v>0.0.0.0</v>
      </c>
      <c r="O107" s="3">
        <f t="shared" si="10"/>
        <v>49712.352962962963</v>
      </c>
      <c r="P107" s="4">
        <f t="shared" si="11"/>
        <v>18</v>
      </c>
    </row>
    <row r="108" spans="14:16" x14ac:dyDescent="0.25">
      <c r="N108" s="1" t="str">
        <f t="shared" si="9"/>
        <v>0.0.0.0</v>
      </c>
      <c r="O108" s="3">
        <f t="shared" si="10"/>
        <v>49712.352962962963</v>
      </c>
      <c r="P108" s="4">
        <f t="shared" si="11"/>
        <v>18</v>
      </c>
    </row>
    <row r="109" spans="14:16" x14ac:dyDescent="0.25">
      <c r="N109" s="1" t="str">
        <f t="shared" si="9"/>
        <v>0.0.0.0</v>
      </c>
      <c r="O109" s="3">
        <f t="shared" si="10"/>
        <v>49712.352962962963</v>
      </c>
      <c r="P109" s="4">
        <f t="shared" si="11"/>
        <v>18</v>
      </c>
    </row>
    <row r="110" spans="14:16" x14ac:dyDescent="0.25">
      <c r="N110" s="1" t="str">
        <f t="shared" si="9"/>
        <v>0.0.0.0</v>
      </c>
      <c r="O110" s="3">
        <f t="shared" si="10"/>
        <v>49712.352962962963</v>
      </c>
      <c r="P110" s="4">
        <f t="shared" si="11"/>
        <v>18</v>
      </c>
    </row>
    <row r="111" spans="14:16" x14ac:dyDescent="0.25">
      <c r="N111" s="1" t="str">
        <f t="shared" si="9"/>
        <v>0.0.0.0</v>
      </c>
      <c r="O111" s="3">
        <f t="shared" si="10"/>
        <v>49712.352962962963</v>
      </c>
      <c r="P111" s="4">
        <f t="shared" si="11"/>
        <v>18</v>
      </c>
    </row>
    <row r="112" spans="14:16" x14ac:dyDescent="0.25">
      <c r="N112" s="1" t="str">
        <f t="shared" si="9"/>
        <v>0.0.0.0</v>
      </c>
      <c r="O112" s="3">
        <f t="shared" si="10"/>
        <v>49712.352962962963</v>
      </c>
      <c r="P112" s="4">
        <f t="shared" si="11"/>
        <v>18</v>
      </c>
    </row>
    <row r="113" spans="14:16" x14ac:dyDescent="0.25">
      <c r="N113" s="1" t="str">
        <f t="shared" si="9"/>
        <v>0.0.0.0</v>
      </c>
      <c r="O113" s="3">
        <f t="shared" si="10"/>
        <v>49712.352962962963</v>
      </c>
      <c r="P113" s="4">
        <f t="shared" si="11"/>
        <v>18</v>
      </c>
    </row>
    <row r="114" spans="14:16" x14ac:dyDescent="0.25">
      <c r="P114" s="1"/>
    </row>
    <row r="115" spans="14:16" x14ac:dyDescent="0.25">
      <c r="P115" s="1"/>
    </row>
    <row r="116" spans="14:16" x14ac:dyDescent="0.25">
      <c r="P116" s="1"/>
    </row>
    <row r="117" spans="14:16" x14ac:dyDescent="0.25">
      <c r="P117" s="1"/>
    </row>
    <row r="118" spans="14:16" x14ac:dyDescent="0.25">
      <c r="P118" s="1"/>
    </row>
    <row r="119" spans="14:16" x14ac:dyDescent="0.25">
      <c r="P119" s="1"/>
    </row>
    <row r="120" spans="14:16" x14ac:dyDescent="0.25">
      <c r="P120" s="1"/>
    </row>
    <row r="121" spans="14:16" x14ac:dyDescent="0.25">
      <c r="P121" s="1"/>
    </row>
    <row r="122" spans="14:16" x14ac:dyDescent="0.25">
      <c r="P122" s="1"/>
    </row>
    <row r="123" spans="14:16" x14ac:dyDescent="0.25">
      <c r="P123" s="1"/>
    </row>
    <row r="124" spans="14:16" x14ac:dyDescent="0.25">
      <c r="P124" s="1"/>
    </row>
    <row r="125" spans="14:16" x14ac:dyDescent="0.25">
      <c r="P125" s="1"/>
    </row>
    <row r="126" spans="14:16" x14ac:dyDescent="0.25">
      <c r="P126" s="1"/>
    </row>
    <row r="127" spans="14:16" x14ac:dyDescent="0.25">
      <c r="P127" s="1"/>
    </row>
    <row r="128" spans="14:16" x14ac:dyDescent="0.25">
      <c r="P128" s="1"/>
    </row>
    <row r="129" spans="16:16" x14ac:dyDescent="0.25">
      <c r="P129" s="1"/>
    </row>
    <row r="130" spans="16:16" x14ac:dyDescent="0.25">
      <c r="P130" s="1"/>
    </row>
    <row r="131" spans="16:16" x14ac:dyDescent="0.25">
      <c r="P131" s="1"/>
    </row>
    <row r="132" spans="16:16" x14ac:dyDescent="0.25">
      <c r="P132" s="1"/>
    </row>
    <row r="133" spans="16:16" x14ac:dyDescent="0.25">
      <c r="P133" s="1"/>
    </row>
    <row r="134" spans="16:16" x14ac:dyDescent="0.25">
      <c r="P134" s="1"/>
    </row>
    <row r="135" spans="16:16" x14ac:dyDescent="0.25">
      <c r="P135" s="1"/>
    </row>
    <row r="136" spans="16:16" x14ac:dyDescent="0.25">
      <c r="P136" s="1"/>
    </row>
    <row r="137" spans="16:16" x14ac:dyDescent="0.25">
      <c r="P137" s="1"/>
    </row>
    <row r="138" spans="16:16" x14ac:dyDescent="0.25">
      <c r="P138" s="1"/>
    </row>
    <row r="139" spans="16:16" x14ac:dyDescent="0.25">
      <c r="P139" s="1"/>
    </row>
    <row r="140" spans="16:16" x14ac:dyDescent="0.25">
      <c r="P140" s="1"/>
    </row>
    <row r="141" spans="16:16" x14ac:dyDescent="0.25">
      <c r="P141" s="1"/>
    </row>
    <row r="142" spans="16:16" x14ac:dyDescent="0.25">
      <c r="P142" s="1"/>
    </row>
    <row r="143" spans="16:16" x14ac:dyDescent="0.25">
      <c r="P143" s="1"/>
    </row>
    <row r="144" spans="16:16" x14ac:dyDescent="0.25">
      <c r="P144" s="1"/>
    </row>
    <row r="145" spans="16:16" x14ac:dyDescent="0.25">
      <c r="P145" s="1"/>
    </row>
    <row r="146" spans="16:16" x14ac:dyDescent="0.25">
      <c r="P146" s="1"/>
    </row>
    <row r="147" spans="16:16" x14ac:dyDescent="0.25">
      <c r="P147" s="1"/>
    </row>
    <row r="148" spans="16:16" x14ac:dyDescent="0.25">
      <c r="P148" s="1"/>
    </row>
    <row r="149" spans="16:16" x14ac:dyDescent="0.25">
      <c r="P149" s="1"/>
    </row>
    <row r="150" spans="16:16" x14ac:dyDescent="0.25">
      <c r="P150" s="1"/>
    </row>
    <row r="151" spans="16:16" x14ac:dyDescent="0.25">
      <c r="P151" s="1"/>
    </row>
    <row r="152" spans="16:16" x14ac:dyDescent="0.25">
      <c r="P152" s="1"/>
    </row>
    <row r="153" spans="16:16" x14ac:dyDescent="0.25">
      <c r="P153" s="1"/>
    </row>
    <row r="154" spans="16:16" x14ac:dyDescent="0.25">
      <c r="P154" s="1"/>
    </row>
    <row r="155" spans="16:16" x14ac:dyDescent="0.25">
      <c r="P155" s="1"/>
    </row>
    <row r="156" spans="16:16" x14ac:dyDescent="0.25">
      <c r="P156" s="1"/>
    </row>
    <row r="157" spans="16:16" x14ac:dyDescent="0.25">
      <c r="P157" s="1"/>
    </row>
    <row r="158" spans="16:16" x14ac:dyDescent="0.25">
      <c r="P158" s="1"/>
    </row>
    <row r="159" spans="16:16" x14ac:dyDescent="0.25">
      <c r="P159" s="1"/>
    </row>
    <row r="160" spans="16:16" x14ac:dyDescent="0.25">
      <c r="P160" s="1"/>
    </row>
    <row r="161" spans="3:16" x14ac:dyDescent="0.25">
      <c r="P161" s="1"/>
    </row>
    <row r="162" spans="3:16" x14ac:dyDescent="0.25">
      <c r="P162" s="1"/>
    </row>
    <row r="163" spans="3:16" x14ac:dyDescent="0.25">
      <c r="P163" s="1"/>
    </row>
    <row r="164" spans="3:16" x14ac:dyDescent="0.25">
      <c r="P164" s="1"/>
    </row>
    <row r="165" spans="3:16" x14ac:dyDescent="0.25">
      <c r="P165" s="1"/>
    </row>
    <row r="166" spans="3:16" x14ac:dyDescent="0.25">
      <c r="P166" s="1"/>
    </row>
    <row r="167" spans="3:16" x14ac:dyDescent="0.25">
      <c r="P167" s="1"/>
    </row>
    <row r="168" spans="3:16" x14ac:dyDescent="0.25">
      <c r="P168" s="1"/>
    </row>
    <row r="169" spans="3:16" x14ac:dyDescent="0.25">
      <c r="P169" s="1"/>
    </row>
    <row r="170" spans="3:16" x14ac:dyDescent="0.25">
      <c r="P170" s="1"/>
    </row>
    <row r="171" spans="3:16" x14ac:dyDescent="0.25">
      <c r="P171" s="1"/>
    </row>
    <row r="172" spans="3:16" x14ac:dyDescent="0.25">
      <c r="P172" s="1"/>
    </row>
    <row r="173" spans="3:16" x14ac:dyDescent="0.25">
      <c r="P173" s="1"/>
    </row>
    <row r="174" spans="3:16" x14ac:dyDescent="0.25">
      <c r="P174" s="1"/>
    </row>
    <row r="175" spans="3:16" x14ac:dyDescent="0.25">
      <c r="C175">
        <v>555888001</v>
      </c>
      <c r="D175" t="s">
        <v>85</v>
      </c>
      <c r="E175">
        <v>0</v>
      </c>
      <c r="F175">
        <v>2</v>
      </c>
      <c r="H175">
        <v>67258235</v>
      </c>
      <c r="I175">
        <v>19</v>
      </c>
      <c r="J175">
        <v>1</v>
      </c>
      <c r="K175">
        <v>54321</v>
      </c>
      <c r="L175">
        <v>-561159366</v>
      </c>
      <c r="P175" s="1"/>
    </row>
    <row r="176" spans="3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  <row r="380" spans="16:16" x14ac:dyDescent="0.25">
      <c r="P380" s="1"/>
    </row>
    <row r="381" spans="16:16" x14ac:dyDescent="0.25">
      <c r="P381" s="1"/>
    </row>
    <row r="382" spans="16:16" x14ac:dyDescent="0.25">
      <c r="P382" s="1"/>
    </row>
    <row r="383" spans="16:16" x14ac:dyDescent="0.25">
      <c r="P383" s="1"/>
    </row>
    <row r="384" spans="16:16" x14ac:dyDescent="0.25">
      <c r="P384" s="1"/>
    </row>
    <row r="385" spans="16:16" x14ac:dyDescent="0.25">
      <c r="P385" s="1"/>
    </row>
    <row r="386" spans="16:16" x14ac:dyDescent="0.25">
      <c r="P386" s="1"/>
    </row>
    <row r="387" spans="16:16" x14ac:dyDescent="0.25">
      <c r="P387" s="1"/>
    </row>
    <row r="388" spans="16:16" x14ac:dyDescent="0.25">
      <c r="P388" s="1"/>
    </row>
    <row r="389" spans="16:16" x14ac:dyDescent="0.25">
      <c r="P389" s="1"/>
    </row>
    <row r="390" spans="16:16" x14ac:dyDescent="0.25">
      <c r="P390" s="1"/>
    </row>
    <row r="391" spans="16:16" x14ac:dyDescent="0.25">
      <c r="P391" s="1"/>
    </row>
    <row r="392" spans="16:16" x14ac:dyDescent="0.25">
      <c r="P392" s="1"/>
    </row>
    <row r="393" spans="16:16" x14ac:dyDescent="0.25">
      <c r="P393" s="1"/>
    </row>
    <row r="394" spans="16:16" x14ac:dyDescent="0.25">
      <c r="P394" s="1"/>
    </row>
    <row r="395" spans="16:16" x14ac:dyDescent="0.25">
      <c r="P395" s="1"/>
    </row>
    <row r="396" spans="16:16" x14ac:dyDescent="0.25">
      <c r="P396" s="1"/>
    </row>
    <row r="397" spans="16:16" x14ac:dyDescent="0.25">
      <c r="P397" s="1"/>
    </row>
    <row r="398" spans="16:16" x14ac:dyDescent="0.25">
      <c r="P398" s="1"/>
    </row>
    <row r="399" spans="16:16" x14ac:dyDescent="0.25">
      <c r="P399" s="1"/>
    </row>
    <row r="400" spans="16:16" x14ac:dyDescent="0.25">
      <c r="P400" s="1"/>
    </row>
    <row r="401" spans="16:16" x14ac:dyDescent="0.25">
      <c r="P401" s="1"/>
    </row>
    <row r="402" spans="16:16" x14ac:dyDescent="0.25">
      <c r="P402" s="1"/>
    </row>
    <row r="403" spans="16:16" x14ac:dyDescent="0.25">
      <c r="P403" s="1"/>
    </row>
    <row r="404" spans="16:16" x14ac:dyDescent="0.25">
      <c r="P404" s="1"/>
    </row>
    <row r="405" spans="16:16" x14ac:dyDescent="0.25">
      <c r="P405" s="1"/>
    </row>
    <row r="406" spans="16:16" x14ac:dyDescent="0.25">
      <c r="P406" s="1"/>
    </row>
    <row r="407" spans="16:16" x14ac:dyDescent="0.25">
      <c r="P407" s="1"/>
    </row>
    <row r="408" spans="16:16" x14ac:dyDescent="0.25">
      <c r="P408" s="1"/>
    </row>
    <row r="409" spans="16:16" x14ac:dyDescent="0.25">
      <c r="P409" s="1"/>
    </row>
    <row r="410" spans="16:16" x14ac:dyDescent="0.25">
      <c r="P410" s="1"/>
    </row>
    <row r="411" spans="16:16" x14ac:dyDescent="0.25">
      <c r="P411" s="1"/>
    </row>
    <row r="412" spans="16:16" x14ac:dyDescent="0.25">
      <c r="P412" s="1"/>
    </row>
    <row r="413" spans="16:16" x14ac:dyDescent="0.25">
      <c r="P413" s="1"/>
    </row>
    <row r="414" spans="16:16" x14ac:dyDescent="0.25">
      <c r="P414" s="1"/>
    </row>
    <row r="415" spans="16:16" x14ac:dyDescent="0.25">
      <c r="P415" s="1"/>
    </row>
    <row r="416" spans="16:16" x14ac:dyDescent="0.25">
      <c r="P416" s="1"/>
    </row>
    <row r="417" spans="16:16" x14ac:dyDescent="0.25">
      <c r="P417" s="1"/>
    </row>
    <row r="418" spans="16:16" x14ac:dyDescent="0.25">
      <c r="P418" s="1"/>
    </row>
    <row r="419" spans="16:16" x14ac:dyDescent="0.25">
      <c r="P419" s="1"/>
    </row>
    <row r="420" spans="16:16" x14ac:dyDescent="0.25">
      <c r="P420" s="1"/>
    </row>
    <row r="421" spans="16:16" x14ac:dyDescent="0.25">
      <c r="P421" s="1"/>
    </row>
    <row r="422" spans="16:16" x14ac:dyDescent="0.25">
      <c r="P422" s="1"/>
    </row>
    <row r="423" spans="16:16" x14ac:dyDescent="0.25">
      <c r="P423" s="1"/>
    </row>
    <row r="424" spans="16:16" x14ac:dyDescent="0.25">
      <c r="P424" s="1"/>
    </row>
    <row r="425" spans="16:16" x14ac:dyDescent="0.25">
      <c r="P425" s="1"/>
    </row>
    <row r="426" spans="16:16" x14ac:dyDescent="0.25">
      <c r="P426" s="1"/>
    </row>
    <row r="427" spans="16:16" x14ac:dyDescent="0.25">
      <c r="P427" s="1"/>
    </row>
    <row r="428" spans="16:16" x14ac:dyDescent="0.25">
      <c r="P428" s="1"/>
    </row>
    <row r="429" spans="16:16" x14ac:dyDescent="0.25">
      <c r="P429" s="1"/>
    </row>
    <row r="430" spans="16:16" x14ac:dyDescent="0.25">
      <c r="P430" s="1"/>
    </row>
    <row r="431" spans="16:16" x14ac:dyDescent="0.25">
      <c r="P431" s="1"/>
    </row>
    <row r="432" spans="16:16" x14ac:dyDescent="0.25">
      <c r="P432" s="1"/>
    </row>
    <row r="433" spans="16:16" x14ac:dyDescent="0.25">
      <c r="P433" s="1"/>
    </row>
    <row r="434" spans="16:16" x14ac:dyDescent="0.25">
      <c r="P434" s="1"/>
    </row>
    <row r="435" spans="16:16" x14ac:dyDescent="0.25">
      <c r="P435" s="1"/>
    </row>
    <row r="436" spans="16:16" x14ac:dyDescent="0.25">
      <c r="P436" s="1"/>
    </row>
    <row r="437" spans="16:16" x14ac:dyDescent="0.25">
      <c r="P437" s="1"/>
    </row>
    <row r="438" spans="16:16" x14ac:dyDescent="0.25">
      <c r="P438" s="1"/>
    </row>
    <row r="439" spans="16:16" x14ac:dyDescent="0.25">
      <c r="P439" s="1"/>
    </row>
    <row r="440" spans="16:16" x14ac:dyDescent="0.25">
      <c r="P440" s="1"/>
    </row>
    <row r="441" spans="16:16" x14ac:dyDescent="0.25">
      <c r="P441" s="1"/>
    </row>
    <row r="442" spans="16:16" x14ac:dyDescent="0.25">
      <c r="P442" s="1"/>
    </row>
    <row r="443" spans="16:16" x14ac:dyDescent="0.25">
      <c r="P443" s="1"/>
    </row>
    <row r="444" spans="16:16" x14ac:dyDescent="0.25">
      <c r="P444" s="1"/>
    </row>
    <row r="445" spans="16:16" x14ac:dyDescent="0.25">
      <c r="P445" s="1"/>
    </row>
    <row r="446" spans="16:16" x14ac:dyDescent="0.25">
      <c r="P446" s="1"/>
    </row>
    <row r="447" spans="16:16" x14ac:dyDescent="0.25">
      <c r="P447" s="1"/>
    </row>
    <row r="448" spans="16:16" x14ac:dyDescent="0.25">
      <c r="P448" s="1"/>
    </row>
    <row r="449" spans="16:16" x14ac:dyDescent="0.25">
      <c r="P449" s="1"/>
    </row>
    <row r="450" spans="16:16" x14ac:dyDescent="0.25">
      <c r="P450" s="1"/>
    </row>
    <row r="451" spans="16:16" x14ac:dyDescent="0.25">
      <c r="P451" s="1"/>
    </row>
    <row r="452" spans="16:16" x14ac:dyDescent="0.25">
      <c r="P452" s="1"/>
    </row>
    <row r="453" spans="16:16" x14ac:dyDescent="0.25">
      <c r="P453" s="1"/>
    </row>
    <row r="454" spans="16:16" x14ac:dyDescent="0.25">
      <c r="P454" s="1"/>
    </row>
    <row r="455" spans="16:16" x14ac:dyDescent="0.25">
      <c r="P455" s="1"/>
    </row>
    <row r="456" spans="16:16" x14ac:dyDescent="0.25">
      <c r="P456" s="1"/>
    </row>
  </sheetData>
  <autoFilter ref="C11:R568"/>
  <mergeCells count="2">
    <mergeCell ref="B8:D8"/>
    <mergeCell ref="B9:D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TEST_Test">
                <anchor moveWithCells="1" sizeWithCells="1">
                  <from>
                    <xdr:col>1</xdr:col>
                    <xdr:colOff>333375</xdr:colOff>
                    <xdr:row>3</xdr:row>
                    <xdr:rowOff>95250</xdr:rowOff>
                  </from>
                  <to>
                    <xdr:col>2</xdr:col>
                    <xdr:colOff>771525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abelle2.Test_VollesProgramm">
                <anchor moveWithCells="1" sizeWithCells="1">
                  <from>
                    <xdr:col>3</xdr:col>
                    <xdr:colOff>276225</xdr:colOff>
                    <xdr:row>3</xdr:row>
                    <xdr:rowOff>95250</xdr:rowOff>
                  </from>
                  <to>
                    <xdr:col>3</xdr:col>
                    <xdr:colOff>2009775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21</vt:i4>
      </vt:variant>
    </vt:vector>
  </HeadingPairs>
  <TitlesOfParts>
    <vt:vector size="23" baseType="lpstr">
      <vt:lpstr>Manuell</vt:lpstr>
      <vt:lpstr>Automatik</vt:lpstr>
      <vt:lpstr>Automatik!DebugAusgabe</vt:lpstr>
      <vt:lpstr>Manuell!DebugAusgabe</vt:lpstr>
      <vt:lpstr>DynAktNummer</vt:lpstr>
      <vt:lpstr>DynAktPin</vt:lpstr>
      <vt:lpstr>DynAktPort</vt:lpstr>
      <vt:lpstr>EinzelAbfrNummer</vt:lpstr>
      <vt:lpstr>Geheimzahl</vt:lpstr>
      <vt:lpstr>IP_Adresse</vt:lpstr>
      <vt:lpstr>Automatik!Listenkopf</vt:lpstr>
      <vt:lpstr>Listenkopf</vt:lpstr>
      <vt:lpstr>MaxSyncSekunden</vt:lpstr>
      <vt:lpstr>Server_PIN</vt:lpstr>
      <vt:lpstr>Server_Port</vt:lpstr>
      <vt:lpstr>ServerAdrTab</vt:lpstr>
      <vt:lpstr>ServerPortTab</vt:lpstr>
      <vt:lpstr>Suchmuster</vt:lpstr>
      <vt:lpstr>TestresultatKopf</vt:lpstr>
      <vt:lpstr>TestschrittKopf</vt:lpstr>
      <vt:lpstr>ZeitInkrement</vt:lpstr>
      <vt:lpstr>Automatik!Zeitzone</vt:lpstr>
      <vt:lpstr>Manuell!Zeitzone</vt:lpstr>
    </vt:vector>
  </TitlesOfParts>
  <Company>TÜV SÜD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</dc:creator>
  <cp:lastModifiedBy>Fred Sonnenrein</cp:lastModifiedBy>
  <dcterms:created xsi:type="dcterms:W3CDTF">2013-09-25T11:44:04Z</dcterms:created>
  <dcterms:modified xsi:type="dcterms:W3CDTF">2018-07-05T12:21:48Z</dcterms:modified>
</cp:coreProperties>
</file>